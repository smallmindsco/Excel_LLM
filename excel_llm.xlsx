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" sheetId="2" state="visible" r:id="rId4"/>
    <sheet name="Vocab" sheetId="3" state="visible" r:id="rId5"/>
    <sheet name="Corpus" sheetId="4" state="visible" r:id="rId6"/>
    <sheet name="Embeddings" sheetId="5" state="visible" r:id="rId7"/>
    <sheet name="Attention" sheetId="6" state="visible" r:id="rId8"/>
    <sheet name="FFN" sheetId="7" state="visible" r:id="rId9"/>
    <sheet name="Output" sheetId="8" state="visible" r:id="rId10"/>
    <sheet name="Loss" sheetId="9" state="visible" r:id="rId11"/>
    <sheet name="Gradients" sheetId="10" state="visible" r:id="rId12"/>
    <sheet name="Train" sheetId="11" state="visible" r:id="rId13"/>
    <sheet name="Generat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<sst xmlns="http://schemas.openxmlformats.org/spreadsheetml/2006/main" count="686" uniqueCount="482">
  <si>
    <t xml:space="preserve">EXCEL LLM - A Complete Transformer Language Model in Excel</t>
  </si>
  <si>
    <t xml:space="preserve">OVERVIEW</t>
  </si>
  <si>
    <t xml:space="preserve">This workbook implements a complete autoregressive transformer language model.</t>
  </si>
  <si>
    <t xml:space="preserve">Every computation is done via Excel formulas - no macros or VBA required.</t>
  </si>
  <si>
    <t xml:space="preserve">ARCHITECTURE</t>
  </si>
  <si>
    <t xml:space="preserve">• Vocabulary: 30 characters (a-z, space, period, comma, newline)</t>
  </si>
  <si>
    <t xml:space="preserve">• Embedding Dimension: 8</t>
  </si>
  <si>
    <t xml:space="preserve">• Attention Heads: 2 (head dimension: 4)</t>
  </si>
  <si>
    <t xml:space="preserve">• FFN Hidden Dimension: 16</t>
  </si>
  <si>
    <t xml:space="preserve">• Context Length: 8 tokens</t>
  </si>
  <si>
    <t xml:space="preserve">• Activation: GELU</t>
  </si>
  <si>
    <t xml:space="preserve">• Normalization: Layer Norm (pre-norm style)</t>
  </si>
  <si>
    <t xml:space="preserve">SHEETS</t>
  </si>
  <si>
    <t xml:space="preserve">1. Config - Hyperparameters and settings</t>
  </si>
  <si>
    <t xml:space="preserve">2. Vocab - Character to token ID mapping</t>
  </si>
  <si>
    <t xml:space="preserve">3. Corpus - Training data and tokenized sequences</t>
  </si>
  <si>
    <t xml:space="preserve">4. Embeddings - Token + positional embeddings, Layer Norm 1</t>
  </si>
  <si>
    <t xml:space="preserve">5. Attention - Multi-head self-attention with causal mask</t>
  </si>
  <si>
    <t xml:space="preserve">6. FFN - Feed-forward network with GELU activation</t>
  </si>
  <si>
    <t xml:space="preserve">7. Output - Final layer norm and logits</t>
  </si>
  <si>
    <t xml:space="preserve">8. Loss - Cross-entropy loss computation</t>
  </si>
  <si>
    <t xml:space="preserve">9. Gradients - Numerical gradient computation</t>
  </si>
  <si>
    <t xml:space="preserve">10. Train - Weight update mechanism</t>
  </si>
  <si>
    <t xml:space="preserve">11. Generate - Autoregressive text generation</t>
  </si>
  <si>
    <t xml:space="preserve">HOW TO USE</t>
  </si>
  <si>
    <t xml:space="preserve">TRAINING:</t>
  </si>
  <si>
    <t xml:space="preserve">1. Select a training example in Corpus (change Example_ID)</t>
  </si>
  <si>
    <t xml:space="preserve">2. View the forward pass in Embeddings → Attention → FFN → Output</t>
  </si>
  <si>
    <t xml:space="preserve">3. Check the Loss sheet to see cross-entropy loss</t>
  </si>
  <si>
    <t xml:space="preserve">4. Go to Gradients sheet - gradients are computed numerically</t>
  </si>
  <si>
    <t xml:space="preserve">5. Go to Train sheet and copy Updated Weights to replace current weights</t>
  </si>
  <si>
    <t xml:space="preserve">6. Repeat for each example (this is one epoch)</t>
  </si>
  <si>
    <t xml:space="preserve">GENERATION:</t>
  </si>
  <si>
    <t xml:space="preserve">1. Go to Generate sheet</t>
  </si>
  <si>
    <t xml:space="preserve">2. Enter a prompt (up to 7 characters)</t>
  </si>
  <si>
    <t xml:space="preserve">3. The model predicts the next token</t>
  </si>
  <si>
    <t xml:space="preserve">4. Copy the prediction back to extend the prompt</t>
  </si>
  <si>
    <t xml:space="preserve">5. Repeat for autoregressive generation</t>
  </si>
  <si>
    <t xml:space="preserve">COLOR CODING</t>
  </si>
  <si>
    <t xml:space="preserve">• Blue cells: Inputs/parameters you can modify</t>
  </si>
  <si>
    <t xml:space="preserve">• Green cells: References to other sheets</t>
  </si>
  <si>
    <t xml:space="preserve">• Yellow background: Learnable weights</t>
  </si>
  <si>
    <t xml:space="preserve">• Orange background: Key outputs</t>
  </si>
  <si>
    <t xml:space="preserve">• Green background: Intermediate calculations</t>
  </si>
  <si>
    <t xml:space="preserve">CONFIGURATION</t>
  </si>
  <si>
    <t xml:space="preserve">Parameter</t>
  </si>
  <si>
    <t xml:space="preserve">Value</t>
  </si>
  <si>
    <t xml:space="preserve">Description</t>
  </si>
  <si>
    <t xml:space="preserve">Vocab_Size</t>
  </si>
  <si>
    <t xml:space="preserve">Number of unique tokens</t>
  </si>
  <si>
    <t xml:space="preserve">Embed_Dim</t>
  </si>
  <si>
    <t xml:space="preserve">Embedding dimension</t>
  </si>
  <si>
    <t xml:space="preserve">Num_Heads</t>
  </si>
  <si>
    <t xml:space="preserve">Number of attention heads</t>
  </si>
  <si>
    <t xml:space="preserve">Head_Dim</t>
  </si>
  <si>
    <t xml:space="preserve">Dimension per attention head</t>
  </si>
  <si>
    <t xml:space="preserve">FFN_Hidden</t>
  </si>
  <si>
    <t xml:space="preserve">Feed-forward hidden dimension</t>
  </si>
  <si>
    <t xml:space="preserve">Context_Len</t>
  </si>
  <si>
    <t xml:space="preserve">Maximum sequence length</t>
  </si>
  <si>
    <t xml:space="preserve">Learning_Rate</t>
  </si>
  <si>
    <t xml:space="preserve">Gradient descent step size</t>
  </si>
  <si>
    <t xml:space="preserve">Epsilon</t>
  </si>
  <si>
    <t xml:space="preserve">LayerNorm epsilon for stability</t>
  </si>
  <si>
    <t xml:space="preserve">Example_ID</t>
  </si>
  <si>
    <t xml:space="preserve">Current training example (1-indexed)</t>
  </si>
  <si>
    <t xml:space="preserve">Named Ranges:</t>
  </si>
  <si>
    <t xml:space="preserve">Use Config!B3 for Vocab_Size, Config!B11 for Example_ID, etc.</t>
  </si>
  <si>
    <t xml:space="preserve">VOCABULARY</t>
  </si>
  <si>
    <t xml:space="preserve">ID</t>
  </si>
  <si>
    <t xml:space="preserve">Character</t>
  </si>
  <si>
    <t xml:space="preserve">Display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</si>
  <si>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</si>
  <si>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</si>
  <si>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</si>
  <si>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</si>
  <si>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</si>
  <si>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</si>
  <si>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</si>
  <si>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</si>
  <si>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</si>
  <si>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</si>
  <si>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</si>
  <si>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</si>
  <si>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</si>
  <si>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</si>
  <si>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</si>
  <si>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</si>
  <si>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</si>
  <si>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</si>
  <si>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</si>
  <si>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</si>
  <si>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</si>
  <si>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</si>
  <si>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</si>
  <si>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</si>
  <si>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</si>
  <si>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</si>
  <si>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 </t>
  </si>
  <si>
    <t xml:space="preserve">space</t>
  </si>
  <si>
    <t xml:space="preserve">.</t>
  </si>
  <si>
    <t xml:space="preserve">,</t>
  </si>
  <si>
    <t xml:space="preserve">\n</t>
  </si>
  <si>
    <t xml:space="preserve">newline</t>
  </si>
  <si>
    <t xml:space="preserve">TRAINING CORPUS</t>
  </si>
  <si>
    <t xml:space="preserve">Raw Text:</t>
  </si>
  <si>
    <t xml:space="preserve">the cat sat on the mat.
the dog ran in the park.
the bird flew over the tree.
a cat saw a dog.
a dog saw a bird.
the cat ran to the tree.
the dog sat on the mat.
the bird sat in the tree.</t>
  </si>
  <si>
    <t xml:space="preserve">Current Example:</t>
  </si>
  <si>
    <t xml:space="preserve">TRAINING EXAMPLES</t>
  </si>
  <si>
    <t xml:space="preserve">Example</t>
  </si>
  <si>
    <t xml:space="preserve">Input Text</t>
  </si>
  <si>
    <t xml:space="preserve">Target</t>
  </si>
  <si>
    <t xml:space="preserve">Tok_0</t>
  </si>
  <si>
    <t xml:space="preserve">Tok_1</t>
  </si>
  <si>
    <t xml:space="preserve">Tok_2</t>
  </si>
  <si>
    <t xml:space="preserve">Tok_3</t>
  </si>
  <si>
    <t xml:space="preserve">Tok_4</t>
  </si>
  <si>
    <t xml:space="preserve">Tok_5</t>
  </si>
  <si>
    <t xml:space="preserve">Tok_6</t>
  </si>
  <si>
    <t xml:space="preserve">Tok_7</t>
  </si>
  <si>
    <t xml:space="preserve">Target_ID</t>
  </si>
  <si>
    <t xml:space="preserve">the cat </t>
  </si>
  <si>
    <t xml:space="preserve">e cat sa</t>
  </si>
  <si>
    <t xml:space="preserve">cat sat </t>
  </si>
  <si>
    <t xml:space="preserve">t sat on</t>
  </si>
  <si>
    <t xml:space="preserve">sat on t</t>
  </si>
  <si>
    <t xml:space="preserve">t on the</t>
  </si>
  <si>
    <t xml:space="preserve">on the m</t>
  </si>
  <si>
    <t xml:space="preserve"> the mat</t>
  </si>
  <si>
    <t xml:space="preserve">he mat.\n</t>
  </si>
  <si>
    <t xml:space="preserve"> mat.\nth</t>
  </si>
  <si>
    <t xml:space="preserve">at.\nthe </t>
  </si>
  <si>
    <t xml:space="preserve">.\nthe do</t>
  </si>
  <si>
    <t xml:space="preserve">the dog </t>
  </si>
  <si>
    <t xml:space="preserve">e dog ra</t>
  </si>
  <si>
    <t xml:space="preserve">dog ran </t>
  </si>
  <si>
    <t xml:space="preserve">g ran in</t>
  </si>
  <si>
    <t xml:space="preserve">ran in t</t>
  </si>
  <si>
    <t xml:space="preserve">n in the</t>
  </si>
  <si>
    <t xml:space="preserve">in the p</t>
  </si>
  <si>
    <t xml:space="preserve"> the par</t>
  </si>
  <si>
    <t xml:space="preserve">he park.</t>
  </si>
  <si>
    <t xml:space="preserve"> park.\nt</t>
  </si>
  <si>
    <t xml:space="preserve">ark.\nthe</t>
  </si>
  <si>
    <t xml:space="preserve">k.\nthe b</t>
  </si>
  <si>
    <t xml:space="preserve">\nthe bir</t>
  </si>
  <si>
    <t xml:space="preserve">he bird </t>
  </si>
  <si>
    <t xml:space="preserve"> bird fl</t>
  </si>
  <si>
    <t xml:space="preserve">ird flew</t>
  </si>
  <si>
    <t xml:space="preserve">d flew o</t>
  </si>
  <si>
    <t xml:space="preserve">flew ove</t>
  </si>
  <si>
    <t xml:space="preserve">ew over </t>
  </si>
  <si>
    <t xml:space="preserve"> over th</t>
  </si>
  <si>
    <t xml:space="preserve">ver the </t>
  </si>
  <si>
    <t xml:space="preserve">r the tr</t>
  </si>
  <si>
    <t xml:space="preserve">the tree</t>
  </si>
  <si>
    <t xml:space="preserve">e tree.\n</t>
  </si>
  <si>
    <t xml:space="preserve">tree.\na </t>
  </si>
  <si>
    <t xml:space="preserve">ee.\na ca</t>
  </si>
  <si>
    <t xml:space="preserve">.\na cat </t>
  </si>
  <si>
    <t xml:space="preserve">a cat sa</t>
  </si>
  <si>
    <t xml:space="preserve">cat saw </t>
  </si>
  <si>
    <t xml:space="preserve">t saw a </t>
  </si>
  <si>
    <t xml:space="preserve">saw a do</t>
  </si>
  <si>
    <t xml:space="preserve">w a dog.</t>
  </si>
  <si>
    <t xml:space="preserve">a dog.\na</t>
  </si>
  <si>
    <t xml:space="preserve">dog.\na d</t>
  </si>
  <si>
    <t xml:space="preserve">g.\na dog</t>
  </si>
  <si>
    <t xml:space="preserve">\na dog s</t>
  </si>
  <si>
    <t xml:space="preserve"> dog saw</t>
  </si>
  <si>
    <t xml:space="preserve">og saw a</t>
  </si>
  <si>
    <t xml:space="preserve">TOKEN EMBEDDINGS (Vocab_Size × Embed_Dim)</t>
  </si>
  <si>
    <t xml:space="preserve">Key References:</t>
  </si>
  <si>
    <t xml:space="preserve">Token_ID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</si>
  <si>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</si>
  <si>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</si>
  <si>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</si>
  <si>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</si>
  <si>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</si>
  <si>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</si>
  <si>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</si>
  <si>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</si>
  <si>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LN1_Output_Start_Row:</t>
  </si>
  <si>
    <t xml:space="preserve">Combined_Emb_Start_Row:</t>
  </si>
  <si>
    <t xml:space="preserve">POSITIONAL EMBEDDINGS (Context_Len × Embed_Dim)</t>
  </si>
  <si>
    <t xml:space="preserve">Position</t>
  </si>
  <si>
    <t xml:space="preserve">P0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</si>
  <si>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</si>
  <si>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</si>
  <si>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</si>
  <si>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</si>
  <si>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</si>
  <si>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</si>
  <si>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</si>
  <si>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INPUT SEQUENCE EMBEDDINGS</t>
  </si>
  <si>
    <t xml:space="preserve">Step 1: Look up token embeddings from input sequence</t>
  </si>
  <si>
    <t xml:space="preserve">TE0</t>
  </si>
  <si>
    <t xml:space="preserve">TE1</t>
  </si>
  <si>
    <t xml:space="preserve">TE2</t>
  </si>
  <si>
    <t xml:space="preserve">TE3</t>
  </si>
  <si>
    <t xml:space="preserve">TE4</t>
  </si>
  <si>
    <t xml:space="preserve">TE5</t>
  </si>
  <si>
    <t xml:space="preserve">TE6</t>
  </si>
  <si>
    <t xml:space="preserve">TE7</t>
  </si>
  <si>
    <t xml:space="preserve">COMBINED EMBEDDINGS (Token + Position)</t>
  </si>
  <si>
    <t xml:space="preserve">Step 2: Add positional embeddings</t>
  </si>
  <si>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</si>
  <si>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</si>
  <si>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</si>
  <si>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</si>
  <si>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</si>
  <si>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</si>
  <si>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</si>
  <si>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</si>
  <si>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LAYER NORM 1</t>
  </si>
  <si>
    <t xml:space="preserve">Gamma (γ):</t>
  </si>
  <si>
    <t xml:space="preserve">Beta (β):</t>
  </si>
  <si>
    <t xml:space="preserve">Mean</t>
  </si>
  <si>
    <t xml:space="preserve">Var</t>
  </si>
  <si>
    <t xml:space="preserve">LayerNorm Output (for Attention input)</t>
  </si>
  <si>
    <t xml:space="preserve">LN1_0</t>
  </si>
  <si>
    <t xml:space="preserve">LN1_1</t>
  </si>
  <si>
    <t xml:space="preserve">LN1_2</t>
  </si>
  <si>
    <t xml:space="preserve">LN1_3</t>
  </si>
  <si>
    <t xml:space="preserve">LN1_4</t>
  </si>
  <si>
    <t xml:space="preserve">LN1_5</t>
  </si>
  <si>
    <t xml:space="preserve">LN1_6</t>
  </si>
  <si>
    <t xml:space="preserve">LN1_7</t>
  </si>
  <si>
    <t xml:space="preserve">MULTI-HEAD SELF-ATTENTION</t>
  </si>
  <si>
    <t xml:space="preserve">Residual_Row:</t>
  </si>
  <si>
    <t xml:space="preserve">W_Q (Query Weights)</t>
  </si>
  <si>
    <t xml:space="preserve">W_K (Key Weights)</t>
  </si>
  <si>
    <t xml:space="preserve">W_V (Value Weights)</t>
  </si>
  <si>
    <t xml:space="preserve">W_O (Output Projection)</t>
  </si>
  <si>
    <t xml:space="preserve">Q, K, V PROJECTIONS</t>
  </si>
  <si>
    <t xml:space="preserve">Q = X @ W_Q</t>
  </si>
  <si>
    <t xml:space="preserve">Pos</t>
  </si>
  <si>
    <t xml:space="preserve">Q0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</si>
  <si>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</si>
  <si>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</si>
  <si>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</si>
  <si>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</si>
  <si>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</si>
  <si>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</si>
  <si>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</si>
  <si>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K = X @ W_K</t>
  </si>
  <si>
    <t xml:space="preserve">K0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</si>
  <si>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</si>
  <si>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</si>
  <si>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</si>
  <si>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</si>
  <si>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</si>
  <si>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</si>
  <si>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</si>
  <si>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V = X @ W_V</t>
  </si>
  <si>
    <t xml:space="preserve">V0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</si>
  <si>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</si>
  <si>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</si>
  <si>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</si>
  <si>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</si>
  <si>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</si>
  <si>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</si>
  <si>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</si>
  <si>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ATTENTION SCORES (Q @ K^T / sqrt(d))</t>
  </si>
  <si>
    <t xml:space="preserve">Head 1 (dims 0-3)</t>
  </si>
  <si>
    <t xml:space="preserve">Head 2 (dims 4-7)</t>
  </si>
  <si>
    <t xml:space="preserve">CAUSAL MASK (0 = attend, -inf = mask)</t>
  </si>
  <si>
    <t xml:space="preserve">MASKED SCORES (Head 1)</t>
  </si>
  <si>
    <t xml:space="preserve">ATTENTION WEIGHTS - Softmax (Head 1)</t>
  </si>
  <si>
    <t xml:space="preserve">MASKED SCORES (Head 2)</t>
  </si>
  <si>
    <t xml:space="preserve">ATTENTION WEIGHTS - Softmax (Head 2)</t>
  </si>
  <si>
    <t xml:space="preserve">ATTENTION OUTPUT (Attn @ V)</t>
  </si>
  <si>
    <t xml:space="preserve">Head 1 Output</t>
  </si>
  <si>
    <t xml:space="preserve">O0</t>
  </si>
  <si>
    <t xml:space="preserve">O1</t>
  </si>
  <si>
    <t xml:space="preserve">O2</t>
  </si>
  <si>
    <t xml:space="preserve">O3</t>
  </si>
  <si>
    <t xml:space="preserve">Head 2 Output</t>
  </si>
  <si>
    <t xml:space="preserve">O4</t>
  </si>
  <si>
    <t xml:space="preserve">O5</t>
  </si>
  <si>
    <t xml:space="preserve">O6</t>
  </si>
  <si>
    <t xml:space="preserve">O7</t>
  </si>
  <si>
    <t xml:space="preserve">CONCATENATED HEADS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</si>
  <si>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</si>
  <si>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</si>
  <si>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</si>
  <si>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</si>
  <si>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</si>
  <si>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</si>
  <si>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</si>
  <si>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</si>
  <si>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OUTPUT PROJECTION (Concat @ W_O)</t>
  </si>
  <si>
    <t xml:space="preserve">RESIDUAL CONNECTION (X + Attention)</t>
  </si>
  <si>
    <t xml:space="preserve">R0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</si>
  <si>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</si>
  <si>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</si>
  <si>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</si>
  <si>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</si>
  <si>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</si>
  <si>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</si>
  <si>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</si>
  <si>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LAYER NORM 2 (Pre-FFN)</t>
  </si>
  <si>
    <t xml:space="preserve">Resid2_Row:</t>
  </si>
  <si>
    <t xml:space="preserve">LN2 Output</t>
  </si>
  <si>
    <t xml:space="preserve">LN2_0</t>
  </si>
  <si>
    <t xml:space="preserve">LN2_1</t>
  </si>
  <si>
    <t xml:space="preserve">LN2_2</t>
  </si>
  <si>
    <t xml:space="preserve">LN2_3</t>
  </si>
  <si>
    <t xml:space="preserve">LN2_4</t>
  </si>
  <si>
    <t xml:space="preserve">LN2_5</t>
  </si>
  <si>
    <t xml:space="preserve">LN2_6</t>
  </si>
  <si>
    <t xml:space="preserve">LN2_7</t>
  </si>
  <si>
    <t xml:space="preserve">FFN WEIGHTS</t>
  </si>
  <si>
    <t xml:space="preserve">W1 (Embed → Hidden)</t>
  </si>
  <si>
    <t xml:space="preserve">b1 (Hidden bias)</t>
  </si>
  <si>
    <t xml:space="preserve">W2 (Hidden → Embed)</t>
  </si>
  <si>
    <t xml:space="preserve">b2 (Output bias)</t>
  </si>
  <si>
    <t xml:space="preserve">FFN FORWARD PASS</t>
  </si>
  <si>
    <t xml:space="preserve">Hidden (pre-GELU)</t>
  </si>
  <si>
    <t xml:space="preserve">H0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</si>
  <si>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</si>
  <si>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</si>
  <si>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</si>
  <si>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</si>
  <si>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</si>
  <si>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</si>
  <si>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</si>
  <si>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</si>
  <si>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</si>
  <si>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</si>
  <si>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</si>
  <si>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</si>
  <si>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</si>
  <si>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</si>
  <si>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</si>
  <si>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Hidden (GELU activated)</t>
  </si>
  <si>
    <t xml:space="preserve">GELU(x) ≈ x*Φ(x)</t>
  </si>
  <si>
    <t xml:space="preserve">G0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</si>
  <si>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</si>
  <si>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</si>
  <si>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</si>
  <si>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</si>
  <si>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</si>
  <si>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</si>
  <si>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</si>
  <si>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</si>
  <si>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</si>
  <si>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</si>
  <si>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</si>
  <si>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</si>
  <si>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</si>
  <si>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</si>
  <si>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</si>
  <si>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FFN Output</t>
  </si>
  <si>
    <t xml:space="preserve">F0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</si>
  <si>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</si>
  <si>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</si>
  <si>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</si>
  <si>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</si>
  <si>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</si>
  <si>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</si>
  <si>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</si>
  <si>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RESIDUAL CONNECTION 2</t>
  </si>
  <si>
    <t xml:space="preserve">Attn_Out + FFN_Out</t>
  </si>
  <si>
    <t xml:space="preserve">R2_0</t>
  </si>
  <si>
    <t xml:space="preserve">R2_1</t>
  </si>
  <si>
    <t xml:space="preserve">R2_2</t>
  </si>
  <si>
    <t xml:space="preserve">R2_3</t>
  </si>
  <si>
    <t xml:space="preserve">R2_4</t>
  </si>
  <si>
    <t xml:space="preserve">R2_5</t>
  </si>
  <si>
    <t xml:space="preserve">R2_6</t>
  </si>
  <si>
    <t xml:space="preserve">R2_7</t>
  </si>
  <si>
    <t xml:space="preserve">FINAL LAYER NORM</t>
  </si>
  <si>
    <t xml:space="preserve">Prob_Row:</t>
  </si>
  <si>
    <t xml:space="preserve">Logits_Row:</t>
  </si>
  <si>
    <t xml:space="preserve">Statistics (last position only)</t>
  </si>
  <si>
    <t xml:space="preserve">Mean:</t>
  </si>
  <si>
    <t xml:space="preserve">Variance:</t>
  </si>
  <si>
    <t xml:space="preserve">LayerNorm Output (last position)</t>
  </si>
  <si>
    <t xml:space="preserve">LN_0</t>
  </si>
  <si>
    <t xml:space="preserve">LN_1</t>
  </si>
  <si>
    <t xml:space="preserve">LN_2</t>
  </si>
  <si>
    <t xml:space="preserve">LN_3</t>
  </si>
  <si>
    <t xml:space="preserve">LN_4</t>
  </si>
  <si>
    <t xml:space="preserve">LN_5</t>
  </si>
  <si>
    <t xml:space="preserve">LN_6</t>
  </si>
  <si>
    <t xml:space="preserve">LN_7</t>
  </si>
  <si>
    <t xml:space="preserve">UNEMBEDDING MATRIX (Embed_Dim × Vocab_Size)</t>
  </si>
  <si>
    <t xml:space="preserve">(Tied with token embeddings)</t>
  </si>
  <si>
    <t xml:space="preserve">LOGITS (LN_out @ Unembed)</t>
  </si>
  <si>
    <t xml:space="preserve">_</t>
  </si>
  <si>
    <t xml:space="preserve">Logit</t>
  </si>
  <si>
    <t xml:space="preserve">PROBABILITIES (Softmax)</t>
  </si>
  <si>
    <t xml:space="preserve">Prob</t>
  </si>
  <si>
    <t xml:space="preserve">PREDICTION</t>
  </si>
  <si>
    <t xml:space="preserve">Predicted ID:</t>
  </si>
  <si>
    <t xml:space="preserve">Predicted Char:</t>
  </si>
  <si>
    <t xml:space="preserve">Max Probability:</t>
  </si>
  <si>
    <t xml:space="preserve">Target ID:</t>
  </si>
  <si>
    <t xml:space="preserve">Target Char:</t>
  </si>
  <si>
    <t xml:space="preserve">CROSS-ENTROPY LOSS</t>
  </si>
  <si>
    <t xml:space="preserve">Cross-Entropy Loss = -log(P(target))</t>
  </si>
  <si>
    <t xml:space="preserve">Target Token ID:</t>
  </si>
  <si>
    <t xml:space="preserve">Probability of Target:</t>
  </si>
  <si>
    <t xml:space="preserve">Cross-Entropy Loss:</t>
  </si>
  <si>
    <t xml:space="preserve">Note: Lower loss = better prediction</t>
  </si>
  <si>
    <t xml:space="preserve">ADDITIONAL METRICS</t>
  </si>
  <si>
    <t xml:space="preserve">Perplexity:</t>
  </si>
  <si>
    <t xml:space="preserve">Correct Prediction:</t>
  </si>
  <si>
    <t xml:space="preserve">GRADIENT COMPUTATION</t>
  </si>
  <si>
    <t xml:space="preserve">Method: Numerical Differentiation</t>
  </si>
  <si>
    <t xml:space="preserve">∂L/∂w ≈ (L(w+ε) - L(w-ε)) / (2ε)</t>
  </si>
  <si>
    <t xml:space="preserve">Epsilon (ε):</t>
  </si>
  <si>
    <t xml:space="preserve">Current Loss:</t>
  </si>
  <si>
    <t xml:space="preserve">HOW TO COMPUTE GRADIENTS MANUALLY:</t>
  </si>
  <si>
    <t xml:space="preserve">1. Note the current loss value above</t>
  </si>
  <si>
    <t xml:space="preserve">2. Go to a weight you want to update (e.g., Embeddings token weight)</t>
  </si>
  <si>
    <t xml:space="preserve">3. Add epsilon (0.001) to the weight</t>
  </si>
  <si>
    <t xml:space="preserve">4. Record the new loss (L+)</t>
  </si>
  <si>
    <t xml:space="preserve">5. Subtract 2*epsilon from the weight (original - epsilon)</t>
  </si>
  <si>
    <t xml:space="preserve">6. Record the new loss (L-)</t>
  </si>
  <si>
    <t xml:space="preserve">7. Gradient = (L+ - L-) / (2 * epsilon)</t>
  </si>
  <si>
    <t xml:space="preserve">8. Restore the weight to its original value</t>
  </si>
  <si>
    <t xml:space="preserve">9. Use gradient in Train sheet to update weight</t>
  </si>
  <si>
    <t xml:space="preserve">SAMPLE GRADIENT WORKSHEET</t>
  </si>
  <si>
    <t xml:space="preserve">Weight Location:</t>
  </si>
  <si>
    <t xml:space="preserve">Embeddings!B3</t>
  </si>
  <si>
    <t xml:space="preserve">Original Value:</t>
  </si>
  <si>
    <t xml:space="preserve">L+ (w + ε):</t>
  </si>
  <si>
    <t xml:space="preserve">L- (w - ε):</t>
  </si>
  <si>
    <t xml:space="preserve">Gradient:</t>
  </si>
  <si>
    <t xml:space="preserve">Updated Weight:</t>
  </si>
  <si>
    <t xml:space="preserve">TRAINING - WEIGHT UPDATES</t>
  </si>
  <si>
    <t xml:space="preserve">Learning Rate:</t>
  </si>
  <si>
    <t xml:space="preserve">TRAINING PROCEDURE</t>
  </si>
  <si>
    <t xml:space="preserve">Step 1: Run forward pass (automatic via formulas)</t>
  </si>
  <si>
    <t xml:space="preserve">Step 2: Check Loss sheet for current loss</t>
  </si>
  <si>
    <t xml:space="preserve">Step 3: For each weight you want to update:</t>
  </si>
  <si>
    <t xml:space="preserve">   a. Go to Gradients sheet</t>
  </si>
  <si>
    <t xml:space="preserve">   b. Enter weight cell reference</t>
  </si>
  <si>
    <t xml:space="preserve">   c. Compute gradient by perturbing weight</t>
  </si>
  <si>
    <t xml:space="preserve">   d. Calculate: new_weight = old_weight - lr * gradient</t>
  </si>
  <si>
    <t xml:space="preserve">Step 4: Update weight in original location</t>
  </si>
  <si>
    <t xml:space="preserve">Step 5: Change Example_ID in Config to next example</t>
  </si>
  <si>
    <t xml:space="preserve">Step 6: Repeat for all examples (one epoch)</t>
  </si>
  <si>
    <t xml:space="preserve">TIP: Focus on output layer weights first,</t>
  </si>
  <si>
    <t xml:space="preserve">     they have the most direct impact on loss.</t>
  </si>
  <si>
    <t xml:space="preserve">QUICK WEIGHT UPDATE</t>
  </si>
  <si>
    <t xml:space="preserve">Weight Cell:</t>
  </si>
  <si>
    <t xml:space="preserve">Current Value:</t>
  </si>
  <si>
    <t xml:space="preserve">New Value:</t>
  </si>
  <si>
    <t xml:space="preserve">Copy the New Value and paste into the Weight Cell</t>
  </si>
  <si>
    <t xml:space="preserve">TRAINING LOG</t>
  </si>
  <si>
    <t xml:space="preserve">Epoch</t>
  </si>
  <si>
    <t xml:space="preserve">Loss</t>
  </si>
  <si>
    <t xml:space="preserve">Notes</t>
  </si>
  <si>
    <t xml:space="preserve">TEXT GENERATION</t>
  </si>
  <si>
    <t xml:space="preserve">Enter your prompt below (up to 8 characters):</t>
  </si>
  <si>
    <t xml:space="preserve">Prompt:</t>
  </si>
  <si>
    <t xml:space="preserve">Tokenized Prompt:</t>
  </si>
  <si>
    <t xml:space="preserve">Pos 0</t>
  </si>
  <si>
    <t xml:space="preserve">Pos 1</t>
  </si>
  <si>
    <t xml:space="preserve">Pos 2</t>
  </si>
  <si>
    <t xml:space="preserve">Pos 3</t>
  </si>
  <si>
    <t xml:space="preserve">Pos 4</t>
  </si>
  <si>
    <t xml:space="preserve">Pos 5</t>
  </si>
  <si>
    <t xml:space="preserve">Pos 6</t>
  </si>
  <si>
    <t xml:space="preserve">Pos 7</t>
  </si>
  <si>
    <t xml:space="preserve">To generate text:</t>
  </si>
  <si>
    <t xml:space="preserve">1. Enter a prompt in B5 (exactly 8 characters, use spaces to pad)</t>
  </si>
  <si>
    <t xml:space="preserve">2. Copy the token IDs above to Corpus row 6 (columns D-K)</t>
  </si>
  <si>
    <t xml:space="preserve">3. Check Output sheet for the predicted next character</t>
  </si>
  <si>
    <t xml:space="preserve">4. Add the predicted character to your prompt</t>
  </si>
  <si>
    <t xml:space="preserve">5. Repeat to generate more text</t>
  </si>
  <si>
    <t xml:space="preserve">Note: The model uses the Corpus!D6:K6 cells for input.</t>
  </si>
  <si>
    <t xml:space="preserve">You can also directly edit those cells with token IDs.</t>
  </si>
  <si>
    <t xml:space="preserve">CURRENT PREDICTION</t>
  </si>
  <si>
    <t xml:space="preserve">Predicted Character:</t>
  </si>
  <si>
    <t xml:space="preserve">Confidence:</t>
  </si>
  <si>
    <t xml:space="preserve">TOP 5 PREDICTIONS</t>
  </si>
  <si>
    <t xml:space="preserve">Rank</t>
  </si>
  <si>
    <t xml:space="preserve">Probability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</si>
</sst>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99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3" customFormat="false" ht="15" hidden="false" customHeight="false" outlineLevel="0" collapsed="false">
      <c r="A23" s="0" t="s">
        <v>19</v>
      </c>
    </row>
    <row r="24" customFormat="false" ht="15" hidden="false" customHeight="false" outlineLevel="0" collapsed="false">
      <c r="A24" s="0" t="s">
        <v>20</v>
      </c>
    </row>
    <row r="25" customFormat="false" ht="15" hidden="false" customHeight="false" outlineLevel="0" collapsed="false">
      <c r="A25" s="0" t="s">
        <v>21</v>
      </c>
    </row>
    <row r="26" customFormat="false" ht="15" hidden="false" customHeight="false" outlineLevel="0" collapsed="false">
      <c r="A26" s="0" t="s">
        <v>22</v>
      </c>
    </row>
    <row r="27" customFormat="false" ht="15" hidden="false" customHeight="false" outlineLevel="0" collapsed="false">
      <c r="A27" s="0" t="s">
        <v>23</v>
      </c>
    </row>
    <row r="29" customFormat="false" ht="15" hidden="false" customHeight="false" outlineLevel="0" collapsed="false">
      <c r="A29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0" t="s">
        <v>26</v>
      </c>
    </row>
    <row r="33" customFormat="false" ht="15" hidden="false" customHeight="false" outlineLevel="0" collapsed="false">
      <c r="A33" s="0" t="s">
        <v>27</v>
      </c>
    </row>
    <row r="34" customFormat="false" ht="15" hidden="false" customHeight="false" outlineLevel="0" collapsed="false">
      <c r="A34" s="0" t="s">
        <v>28</v>
      </c>
    </row>
    <row r="35" customFormat="false" ht="15" hidden="false" customHeight="false" outlineLevel="0" collapsed="false">
      <c r="A35" s="0" t="s">
        <v>29</v>
      </c>
    </row>
    <row r="36" customFormat="false" ht="15" hidden="false" customHeight="false" outlineLevel="0" collapsed="false">
      <c r="A36" s="0" t="s">
        <v>30</v>
      </c>
    </row>
    <row r="37" customFormat="false" ht="15" hidden="false" customHeight="false" outlineLevel="0" collapsed="false">
      <c r="A37" s="0" t="s">
        <v>31</v>
      </c>
    </row>
    <row r="39" customFormat="false" ht="15" hidden="false" customHeight="false" outlineLevel="0" collapsed="false">
      <c r="A39" s="2" t="s">
        <v>32</v>
      </c>
    </row>
    <row r="40" customFormat="false" ht="15" hidden="false" customHeight="false" outlineLevel="0" collapsed="false">
      <c r="A40" s="0" t="s">
        <v>33</v>
      </c>
    </row>
    <row r="41" customFormat="false" ht="15" hidden="false" customHeight="false" outlineLevel="0" collapsed="false">
      <c r="A41" s="0" t="s">
        <v>34</v>
      </c>
    </row>
    <row r="42" customFormat="false" ht="15" hidden="false" customHeight="false" outlineLevel="0" collapsed="false">
      <c r="A42" s="0" t="s">
        <v>35</v>
      </c>
    </row>
    <row r="43" customFormat="false" ht="15" hidden="false" customHeight="false" outlineLevel="0" collapsed="false">
      <c r="A43" s="0" t="s">
        <v>36</v>
      </c>
    </row>
    <row r="44" customFormat="false" ht="15" hidden="false" customHeight="false" outlineLevel="0" collapsed="false">
      <c r="A44" s="0" t="s">
        <v>37</v>
      </c>
    </row>
    <row r="46" customFormat="false" ht="15" hidden="false" customHeight="false" outlineLevel="0" collapsed="false">
      <c r="A46" s="2" t="s">
        <v>38</v>
      </c>
    </row>
    <row r="47" customFormat="false" ht="15" hidden="false" customHeight="false" outlineLevel="0" collapsed="false">
      <c r="A47" s="3" t="s">
        <v>39</v>
      </c>
    </row>
    <row r="48" customFormat="false" ht="15" hidden="false" customHeight="false" outlineLevel="0" collapsed="false">
      <c r="A48" s="4" t="s">
        <v>40</v>
      </c>
    </row>
    <row r="49" customFormat="false" ht="15" hidden="false" customHeight="false" outlineLevel="0" collapsed="false">
      <c r="A49" s="0" t="s">
        <v>41</v>
      </c>
    </row>
    <row r="50" customFormat="false" ht="15" hidden="false" customHeight="false" outlineLevel="0" collapsed="false">
      <c r="A50" s="0" t="s">
        <v>42</v>
      </c>
    </row>
    <row r="51" customFormat="false" ht="15" hidden="false" customHeight="false" outlineLevel="0" collapsed="false">
      <c r="A51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44</v>
      </c>
      <c r="B1" s="5"/>
      <c r="C1" s="5"/>
    </row>
    <row r="2" customFormat="false" ht="15" hidden="false" customHeight="false" outlineLevel="0" collapsed="false">
      <c r="A2" s="2" t="s">
        <v>45</v>
      </c>
      <c r="B2" s="2" t="s">
        <v>46</v>
      </c>
      <c r="C2" s="6" t="s">
        <v>47</v>
      </c>
    </row>
    <row r="3" customFormat="false" ht="15" hidden="false" customHeight="false" outlineLevel="0" collapsed="false">
      <c r="A3" s="2" t="s">
        <v>48</v>
      </c>
      <c r="B3" s="0" t="n">
        <v>30</v>
      </c>
      <c r="C3" s="6" t="s">
        <v>49</v>
      </c>
    </row>
    <row r="4" customFormat="false" ht="15" hidden="false" customHeight="false" outlineLevel="0" collapsed="false">
      <c r="A4" s="2" t="s">
        <v>50</v>
      </c>
      <c r="B4" s="0" t="n">
        <v>8</v>
      </c>
      <c r="C4" s="6" t="s">
        <v>51</v>
      </c>
    </row>
    <row r="5" customFormat="false" ht="15" hidden="false" customHeight="false" outlineLevel="0" collapsed="false">
      <c r="A5" s="2" t="s">
        <v>52</v>
      </c>
      <c r="B5" s="0" t="n">
        <v>2</v>
      </c>
      <c r="C5" s="6" t="s">
        <v>53</v>
      </c>
    </row>
    <row r="6" customFormat="false" ht="15" hidden="false" customHeight="false" outlineLevel="0" collapsed="false">
      <c r="A6" s="2" t="s">
        <v>54</v>
      </c>
      <c r="B6" s="0" t="n">
        <v>4</v>
      </c>
      <c r="C6" s="6" t="s">
        <v>55</v>
      </c>
    </row>
    <row r="7" customFormat="false" ht="15" hidden="false" customHeight="false" outlineLevel="0" collapsed="false">
      <c r="A7" s="2" t="s">
        <v>56</v>
      </c>
      <c r="B7" s="0" t="n">
        <v>16</v>
      </c>
      <c r="C7" s="6" t="s">
        <v>57</v>
      </c>
    </row>
    <row r="8" customFormat="false" ht="15" hidden="false" customHeight="false" outlineLevel="0" collapsed="false">
      <c r="A8" s="2" t="s">
        <v>58</v>
      </c>
      <c r="B8" s="0" t="n">
        <v>8</v>
      </c>
      <c r="C8" s="6" t="s">
        <v>59</v>
      </c>
    </row>
    <row r="9" customFormat="false" ht="15" hidden="false" customHeight="false" outlineLevel="0" collapsed="false">
      <c r="A9" s="2" t="s">
        <v>60</v>
      </c>
      <c r="B9" s="7" t="n">
        <v>0.01</v>
      </c>
      <c r="C9" s="6" t="s">
        <v>61</v>
      </c>
    </row>
    <row r="10" customFormat="false" ht="15" hidden="false" customHeight="false" outlineLevel="0" collapsed="false">
      <c r="A10" s="2" t="s">
        <v>62</v>
      </c>
      <c r="B10" s="0" t="n">
        <v>1E-005</v>
      </c>
      <c r="C10" s="6" t="s">
        <v>63</v>
      </c>
    </row>
    <row r="11" customFormat="false" ht="15" hidden="false" customHeight="false" outlineLevel="0" collapsed="false">
      <c r="A11" s="2" t="s">
        <v>64</v>
      </c>
      <c r="B11" s="7" t="n">
        <v>1</v>
      </c>
      <c r="C11" s="6" t="s">
        <v>65</v>
      </c>
    </row>
    <row r="14" customFormat="false" ht="15" hidden="false" customHeight="false" outlineLevel="0" collapsed="false">
      <c r="A14" s="2" t="s">
        <v>66</v>
      </c>
    </row>
    <row r="15" customFormat="false" ht="15" hidden="false" customHeight="false" outlineLevel="0" collapsed="false">
      <c r="A15" s="0" t="s">
        <v>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5" t="s">
        <v>68</v>
      </c>
      <c r="B1" s="5"/>
      <c r="C1" s="5"/>
    </row>
    <row r="2" customFormat="false" ht="15" hidden="false" customHeight="false" outlineLevel="0" collapsed="false">
      <c r="A2" s="2" t="s">
        <v>69</v>
      </c>
      <c r="B2" s="2" t="s">
        <v>70</v>
      </c>
      <c r="C2" s="2" t="s">
        <v>71</v>
      </c>
    </row>
    <row r="3" customFormat="false" ht="15" hidden="false" customHeight="false" outlineLevel="0" collapsed="false">
      <c r="A3" s="0" t="n">
        <v>0</v>
      </c>
      <c r="B3" s="0" t="s">
        <v>72</v>
      </c>
      <c r="C3" s="0" t="s">
        <v>72</v>
      </c>
    </row>
    <row r="4" customFormat="false" ht="15" hidden="false" customHeight="false" outlineLevel="0" collapsed="false">
      <c r="A4" s="0" t="n">
        <v>1</v>
      </c>
      <c r="B4" s="0" t="s">
        <v>73</v>
      </c>
      <c r="C4" s="0" t="s">
        <v>73</v>
      </c>
    </row>
    <row r="5" customFormat="false" ht="15" hidden="false" customHeight="false" outlineLevel="0" collapsed="false">
      <c r="A5" s="0" t="n">
        <v>2</v>
      </c>
      <c r="B5" s="0" t="s">
        <v>74</v>
      </c>
      <c r="C5" s="0" t="s">
        <v>74</v>
      </c>
    </row>
    <row r="6" customFormat="false" ht="15" hidden="false" customHeight="false" outlineLevel="0" collapsed="false">
      <c r="A6" s="0" t="n">
        <v>3</v>
      </c>
      <c r="B6" s="0" t="s">
        <v>75</v>
      </c>
      <c r="C6" s="0" t="s">
        <v>75</v>
      </c>
    </row>
    <row r="7" customFormat="false" ht="15" hidden="false" customHeight="false" outlineLevel="0" collapsed="false">
      <c r="A7" s="0" t="n">
        <v>4</v>
      </c>
      <c r="B7" s="0" t="s">
        <v>76</v>
      </c>
      <c r="C7" s="0" t="s">
        <v>76</v>
      </c>
    </row>
    <row r="8" customFormat="false" ht="15" hidden="false" customHeight="false" outlineLevel="0" collapsed="false">
      <c r="A8" s="0" t="n">
        <v>5</v>
      </c>
      <c r="B8" s="0" t="s">
        <v>77</v>
      </c>
      <c r="C8" s="0" t="s">
        <v>77</v>
      </c>
    </row>
    <row r="9" customFormat="false" ht="15" hidden="false" customHeight="false" outlineLevel="0" collapsed="false">
      <c r="A9" s="0" t="n">
        <v>6</v>
      </c>
      <c r="B9" s="0" t="s">
        <v>78</v>
      </c>
      <c r="C9" s="0" t="s">
        <v>78</v>
      </c>
    </row>
    <row r="10" customFormat="false" ht="15" hidden="false" customHeight="false" outlineLevel="0" collapsed="false">
      <c r="A10" s="0" t="n">
        <v>7</v>
      </c>
      <c r="B10" s="0" t="s">
        <v>79</v>
      </c>
      <c r="C10" s="0" t="s">
        <v>79</v>
      </c>
    </row>
    <row r="11" customFormat="false" ht="15" hidden="false" customHeight="false" outlineLevel="0" collapsed="false">
      <c r="A11" s="0" t="n">
        <v>8</v>
      </c>
      <c r="B11" s="0" t="s">
        <v>80</v>
      </c>
      <c r="C11" s="0" t="s">
        <v>80</v>
      </c>
    </row>
    <row r="12" customFormat="false" ht="15" hidden="false" customHeight="false" outlineLevel="0" collapsed="false">
      <c r="A12" s="0" t="n">
        <v>9</v>
      </c>
      <c r="B12" s="0" t="s">
        <v>81</v>
      </c>
      <c r="C12" s="0" t="s">
        <v>81</v>
      </c>
    </row>
    <row r="13" customFormat="false" ht="15" hidden="false" customHeight="false" outlineLevel="0" collapsed="false">
      <c r="A13" s="0" t="n">
        <v>10</v>
      </c>
      <c r="B13" s="0" t="s">
        <v>82</v>
      </c>
      <c r="C13" s="0" t="s">
        <v>82</v>
      </c>
    </row>
    <row r="14" customFormat="false" ht="15" hidden="false" customHeight="false" outlineLevel="0" collapsed="false">
      <c r="A14" s="0" t="n">
        <v>11</v>
      </c>
      <c r="B14" s="0" t="s">
        <v>83</v>
      </c>
      <c r="C14" s="0" t="s">
        <v>83</v>
      </c>
    </row>
    <row r="15" customFormat="false" ht="15" hidden="false" customHeight="false" outlineLevel="0" collapsed="false">
      <c r="A15" s="0" t="n">
        <v>12</v>
      </c>
      <c r="B15" s="0" t="s">
        <v>84</v>
      </c>
      <c r="C15" s="0" t="s">
        <v>84</v>
      </c>
    </row>
    <row r="16" customFormat="false" ht="15" hidden="false" customHeight="false" outlineLevel="0" collapsed="false">
      <c r="A16" s="0" t="n">
        <v>13</v>
      </c>
      <c r="B16" s="0" t="s">
        <v>85</v>
      </c>
      <c r="C16" s="0" t="s">
        <v>85</v>
      </c>
    </row>
    <row r="17" customFormat="false" ht="15" hidden="false" customHeight="false" outlineLevel="0" collapsed="false">
      <c r="A17" s="0" t="n">
        <v>14</v>
      </c>
      <c r="B17" s="0" t="s">
        <v>86</v>
      </c>
      <c r="C17" s="0" t="s">
        <v>86</v>
      </c>
    </row>
    <row r="18" customFormat="false" ht="15" hidden="false" customHeight="false" outlineLevel="0" collapsed="false">
      <c r="A18" s="0" t="n">
        <v>15</v>
      </c>
      <c r="B18" s="0" t="s">
        <v>87</v>
      </c>
      <c r="C18" s="0" t="s">
        <v>87</v>
      </c>
    </row>
    <row r="19" customFormat="false" ht="15" hidden="false" customHeight="false" outlineLevel="0" collapsed="false">
      <c r="A19" s="0" t="n">
        <v>16</v>
      </c>
      <c r="B19" s="0" t="s">
        <v>88</v>
      </c>
      <c r="C19" s="0" t="s">
        <v>88</v>
      </c>
    </row>
    <row r="20" customFormat="false" ht="15" hidden="false" customHeight="false" outlineLevel="0" collapsed="false">
      <c r="A20" s="0" t="n">
        <v>17</v>
      </c>
      <c r="B20" s="0" t="s">
        <v>89</v>
      </c>
      <c r="C20" s="0" t="s">
        <v>89</v>
      </c>
    </row>
    <row r="21" customFormat="false" ht="15" hidden="false" customHeight="false" outlineLevel="0" collapsed="false">
      <c r="A21" s="0" t="n">
        <v>18</v>
      </c>
      <c r="B21" s="0" t="s">
        <v>90</v>
      </c>
      <c r="C21" s="0" t="s">
        <v>90</v>
      </c>
    </row>
    <row r="22" customFormat="false" ht="15" hidden="false" customHeight="false" outlineLevel="0" collapsed="false">
      <c r="A22" s="0" t="n">
        <v>19</v>
      </c>
      <c r="B22" s="0" t="s">
        <v>91</v>
      </c>
      <c r="C22" s="0" t="s">
        <v>91</v>
      </c>
    </row>
    <row r="23" customFormat="false" ht="15" hidden="false" customHeight="false" outlineLevel="0" collapsed="false">
      <c r="A23" s="0" t="n">
        <v>20</v>
      </c>
      <c r="B23" s="0" t="s">
        <v>92</v>
      </c>
      <c r="C23" s="0" t="s">
        <v>92</v>
      </c>
    </row>
    <row r="24" customFormat="false" ht="15" hidden="false" customHeight="false" outlineLevel="0" collapsed="false">
      <c r="A24" s="0" t="n">
        <v>21</v>
      </c>
      <c r="B24" s="0" t="s">
        <v>93</v>
      </c>
      <c r="C24" s="0" t="s">
        <v>93</v>
      </c>
    </row>
    <row r="25" customFormat="false" ht="15" hidden="false" customHeight="false" outlineLevel="0" collapsed="false">
      <c r="A25" s="0" t="n">
        <v>22</v>
      </c>
      <c r="B25" s="0" t="s">
        <v>94</v>
      </c>
      <c r="C25" s="0" t="s">
        <v>94</v>
      </c>
    </row>
    <row r="26" customFormat="false" ht="15" hidden="false" customHeight="false" outlineLevel="0" collapsed="false">
      <c r="A26" s="0" t="n">
        <v>23</v>
      </c>
      <c r="B26" s="0" t="s">
        <v>95</v>
      </c>
      <c r="C26" s="0" t="s">
        <v>95</v>
      </c>
    </row>
    <row r="27" customFormat="false" ht="15" hidden="false" customHeight="false" outlineLevel="0" collapsed="false">
      <c r="A27" s="0" t="n">
        <v>24</v>
      </c>
      <c r="B27" s="0" t="s">
        <v>96</v>
      </c>
      <c r="C27" s="0" t="s">
        <v>96</v>
      </c>
    </row>
    <row r="28" customFormat="false" ht="15" hidden="false" customHeight="false" outlineLevel="0" collapsed="false">
      <c r="A28" s="0" t="n">
        <v>25</v>
      </c>
      <c r="B28" s="0" t="s">
        <v>97</v>
      </c>
      <c r="C28" s="0" t="s">
        <v>97</v>
      </c>
    </row>
    <row r="29" customFormat="false" ht="15" hidden="false" customHeight="false" outlineLevel="0" collapsed="false">
      <c r="A29" s="0" t="n">
        <v>26</v>
      </c>
      <c r="B29" s="0" t="s">
        <v>98</v>
      </c>
      <c r="C29" s="0" t="s">
        <v>99</v>
      </c>
    </row>
    <row r="30" customFormat="false" ht="15" hidden="false" customHeight="false" outlineLevel="0" collapsed="false">
      <c r="A30" s="0" t="n">
        <v>27</v>
      </c>
      <c r="B30" s="0" t="s">
        <v>100</v>
      </c>
      <c r="C30" s="0" t="s">
        <v>100</v>
      </c>
    </row>
    <row r="31" customFormat="false" ht="15" hidden="false" customHeight="false" outlineLevel="0" collapsed="false">
      <c r="A31" s="0" t="n">
        <v>28</v>
      </c>
      <c r="B31" s="0" t="s">
        <v>101</v>
      </c>
      <c r="C31" s="0" t="s">
        <v>101</v>
      </c>
    </row>
    <row r="32" customFormat="false" ht="15" hidden="false" customHeight="false" outlineLevel="0" collapsed="false">
      <c r="A32" s="0" t="n">
        <v>29</v>
      </c>
      <c r="B32" s="0" t="s">
        <v>102</v>
      </c>
      <c r="C32" s="0" t="s">
        <v>103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5" t="s">
        <v>104</v>
      </c>
      <c r="B1" s="5"/>
    </row>
    <row r="3" customFormat="false" ht="15" hidden="false" customHeight="false" outlineLevel="0" collapsed="false">
      <c r="A3" s="2" t="s">
        <v>105</v>
      </c>
    </row>
    <row r="4" customFormat="false" ht="99.75" hidden="false" customHeight="true" outlineLevel="0" collapsed="false">
      <c r="A4" s="8" t="s">
        <v>106</v>
      </c>
    </row>
    <row r="6" customFormat="false" ht="15" hidden="false" customHeight="false" outlineLevel="0" collapsed="false">
      <c r="A6" s="2" t="s">
        <v>107</v>
      </c>
      <c r="D6" s="9" t="n">
        <f aca="false">INDEX(D9:D100,Config!$B$11)</f>
        <v>19</v>
      </c>
      <c r="E6" s="9" t="n">
        <f aca="false">INDEX(E9:E100,Config!$B$11)</f>
        <v>7</v>
      </c>
      <c r="F6" s="9" t="n">
        <f aca="false">INDEX(F9:F100,Config!$B$11)</f>
        <v>4</v>
      </c>
      <c r="G6" s="9" t="n">
        <f aca="false">INDEX(G9:G100,Config!$B$11)</f>
        <v>26</v>
      </c>
      <c r="H6" s="9" t="n">
        <f aca="false">INDEX(H9:H100,Config!$B$11)</f>
        <v>2</v>
      </c>
      <c r="I6" s="9" t="n">
        <f aca="false">INDEX(I9:I100,Config!$B$11)</f>
        <v>0</v>
      </c>
      <c r="J6" s="9" t="n">
        <f aca="false">INDEX(J9:J100,Config!$B$11)</f>
        <v>19</v>
      </c>
      <c r="K6" s="9" t="n">
        <f aca="false">INDEX(K9:K100,Config!$B$11)</f>
        <v>26</v>
      </c>
      <c r="L6" s="10" t="n">
        <f aca="false">INDEX(L9:L100,Config!$B$11)</f>
        <v>18</v>
      </c>
    </row>
    <row r="7" customFormat="false" ht="15" hidden="false" customHeight="false" outlineLevel="0" collapsed="false">
      <c r="A7" s="5" t="s">
        <v>108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false" outlineLevel="0" collapsed="false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  <c r="H8" s="2" t="s">
        <v>116</v>
      </c>
      <c r="I8" s="2" t="s">
        <v>117</v>
      </c>
      <c r="J8" s="2" t="s">
        <v>118</v>
      </c>
      <c r="K8" s="2" t="s">
        <v>119</v>
      </c>
      <c r="L8" s="2" t="s">
        <v>120</v>
      </c>
    </row>
    <row r="9" customFormat="false" ht="15" hidden="false" customHeight="false" outlineLevel="0" collapsed="false">
      <c r="A9" s="0" t="n">
        <v>1</v>
      </c>
      <c r="B9" s="0" t="s">
        <v>121</v>
      </c>
      <c r="C9" s="0" t="s">
        <v>90</v>
      </c>
      <c r="D9" s="0" t="n">
        <v>19</v>
      </c>
      <c r="E9" s="0" t="n">
        <v>7</v>
      </c>
      <c r="F9" s="0" t="n">
        <v>4</v>
      </c>
      <c r="G9" s="0" t="n">
        <v>26</v>
      </c>
      <c r="H9" s="0" t="n">
        <v>2</v>
      </c>
      <c r="I9" s="0" t="n">
        <v>0</v>
      </c>
      <c r="J9" s="0" t="n">
        <v>19</v>
      </c>
      <c r="K9" s="0" t="n">
        <v>26</v>
      </c>
      <c r="L9" s="0" t="n">
        <v>18</v>
      </c>
    </row>
    <row r="10" customFormat="false" ht="15" hidden="false" customHeight="false" outlineLevel="0" collapsed="false">
      <c r="A10" s="0" t="n">
        <v>2</v>
      </c>
      <c r="B10" s="0" t="s">
        <v>122</v>
      </c>
      <c r="C10" s="0" t="s">
        <v>91</v>
      </c>
      <c r="D10" s="0" t="n">
        <v>4</v>
      </c>
      <c r="E10" s="0" t="n">
        <v>26</v>
      </c>
      <c r="F10" s="0" t="n">
        <v>2</v>
      </c>
      <c r="G10" s="0" t="n">
        <v>0</v>
      </c>
      <c r="H10" s="0" t="n">
        <v>19</v>
      </c>
      <c r="I10" s="0" t="n">
        <v>26</v>
      </c>
      <c r="J10" s="0" t="n">
        <v>18</v>
      </c>
      <c r="K10" s="0" t="n">
        <v>0</v>
      </c>
      <c r="L10" s="0" t="n">
        <v>19</v>
      </c>
    </row>
    <row r="11" customFormat="false" ht="15" hidden="false" customHeight="false" outlineLevel="0" collapsed="false">
      <c r="A11" s="0" t="n">
        <v>3</v>
      </c>
      <c r="B11" s="0" t="s">
        <v>123</v>
      </c>
      <c r="C11" s="0" t="s">
        <v>86</v>
      </c>
      <c r="D11" s="0" t="n">
        <v>2</v>
      </c>
      <c r="E11" s="0" t="n">
        <v>0</v>
      </c>
      <c r="F11" s="0" t="n">
        <v>19</v>
      </c>
      <c r="G11" s="0" t="n">
        <v>26</v>
      </c>
      <c r="H11" s="0" t="n">
        <v>18</v>
      </c>
      <c r="I11" s="0" t="n">
        <v>0</v>
      </c>
      <c r="J11" s="0" t="n">
        <v>19</v>
      </c>
      <c r="K11" s="0" t="n">
        <v>26</v>
      </c>
      <c r="L11" s="0" t="n">
        <v>14</v>
      </c>
    </row>
    <row r="12" customFormat="false" ht="15" hidden="false" customHeight="false" outlineLevel="0" collapsed="false">
      <c r="A12" s="0" t="n">
        <v>4</v>
      </c>
      <c r="B12" s="0" t="s">
        <v>124</v>
      </c>
      <c r="C12" s="0" t="s">
        <v>98</v>
      </c>
      <c r="D12" s="0" t="n">
        <v>19</v>
      </c>
      <c r="E12" s="0" t="n">
        <v>26</v>
      </c>
      <c r="F12" s="0" t="n">
        <v>18</v>
      </c>
      <c r="G12" s="0" t="n">
        <v>0</v>
      </c>
      <c r="H12" s="0" t="n">
        <v>19</v>
      </c>
      <c r="I12" s="0" t="n">
        <v>26</v>
      </c>
      <c r="J12" s="0" t="n">
        <v>14</v>
      </c>
      <c r="K12" s="0" t="n">
        <v>13</v>
      </c>
      <c r="L12" s="0" t="n">
        <v>26</v>
      </c>
    </row>
    <row r="13" customFormat="false" ht="15" hidden="false" customHeight="false" outlineLevel="0" collapsed="false">
      <c r="A13" s="0" t="n">
        <v>5</v>
      </c>
      <c r="B13" s="0" t="s">
        <v>125</v>
      </c>
      <c r="C13" s="0" t="s">
        <v>79</v>
      </c>
      <c r="D13" s="0" t="n">
        <v>18</v>
      </c>
      <c r="E13" s="0" t="n">
        <v>0</v>
      </c>
      <c r="F13" s="0" t="n">
        <v>19</v>
      </c>
      <c r="G13" s="0" t="n">
        <v>26</v>
      </c>
      <c r="H13" s="0" t="n">
        <v>14</v>
      </c>
      <c r="I13" s="0" t="n">
        <v>13</v>
      </c>
      <c r="J13" s="0" t="n">
        <v>26</v>
      </c>
      <c r="K13" s="0" t="n">
        <v>19</v>
      </c>
      <c r="L13" s="0" t="n">
        <v>7</v>
      </c>
    </row>
    <row r="14" customFormat="false" ht="15" hidden="false" customHeight="false" outlineLevel="0" collapsed="false">
      <c r="A14" s="0" t="n">
        <v>6</v>
      </c>
      <c r="B14" s="0" t="s">
        <v>126</v>
      </c>
      <c r="C14" s="0" t="s">
        <v>98</v>
      </c>
      <c r="D14" s="0" t="n">
        <v>19</v>
      </c>
      <c r="E14" s="0" t="n">
        <v>26</v>
      </c>
      <c r="F14" s="0" t="n">
        <v>14</v>
      </c>
      <c r="G14" s="0" t="n">
        <v>13</v>
      </c>
      <c r="H14" s="0" t="n">
        <v>26</v>
      </c>
      <c r="I14" s="0" t="n">
        <v>19</v>
      </c>
      <c r="J14" s="0" t="n">
        <v>7</v>
      </c>
      <c r="K14" s="0" t="n">
        <v>4</v>
      </c>
      <c r="L14" s="0" t="n">
        <v>26</v>
      </c>
    </row>
    <row r="15" customFormat="false" ht="15" hidden="false" customHeight="false" outlineLevel="0" collapsed="false">
      <c r="A15" s="0" t="n">
        <v>7</v>
      </c>
      <c r="B15" s="0" t="s">
        <v>127</v>
      </c>
      <c r="C15" s="0" t="s">
        <v>72</v>
      </c>
      <c r="D15" s="0" t="n">
        <v>14</v>
      </c>
      <c r="E15" s="0" t="n">
        <v>13</v>
      </c>
      <c r="F15" s="0" t="n">
        <v>26</v>
      </c>
      <c r="G15" s="0" t="n">
        <v>19</v>
      </c>
      <c r="H15" s="0" t="n">
        <v>7</v>
      </c>
      <c r="I15" s="0" t="n">
        <v>4</v>
      </c>
      <c r="J15" s="0" t="n">
        <v>26</v>
      </c>
      <c r="K15" s="0" t="n">
        <v>12</v>
      </c>
      <c r="L15" s="0" t="n">
        <v>0</v>
      </c>
    </row>
    <row r="16" customFormat="false" ht="15" hidden="false" customHeight="false" outlineLevel="0" collapsed="false">
      <c r="A16" s="0" t="n">
        <v>8</v>
      </c>
      <c r="B16" s="0" t="s">
        <v>128</v>
      </c>
      <c r="C16" s="0" t="s">
        <v>100</v>
      </c>
      <c r="D16" s="0" t="n">
        <v>26</v>
      </c>
      <c r="E16" s="0" t="n">
        <v>19</v>
      </c>
      <c r="F16" s="0" t="n">
        <v>7</v>
      </c>
      <c r="G16" s="0" t="n">
        <v>4</v>
      </c>
      <c r="H16" s="0" t="n">
        <v>26</v>
      </c>
      <c r="I16" s="0" t="n">
        <v>12</v>
      </c>
      <c r="J16" s="0" t="n">
        <v>0</v>
      </c>
      <c r="K16" s="0" t="n">
        <v>19</v>
      </c>
      <c r="L16" s="0" t="n">
        <v>27</v>
      </c>
    </row>
    <row r="17" customFormat="false" ht="15" hidden="false" customHeight="false" outlineLevel="0" collapsed="false">
      <c r="A17" s="0" t="n">
        <v>9</v>
      </c>
      <c r="B17" s="0" t="s">
        <v>129</v>
      </c>
      <c r="C17" s="0" t="s">
        <v>91</v>
      </c>
      <c r="D17" s="0" t="n">
        <v>7</v>
      </c>
      <c r="E17" s="0" t="n">
        <v>4</v>
      </c>
      <c r="F17" s="0" t="n">
        <v>26</v>
      </c>
      <c r="G17" s="0" t="n">
        <v>12</v>
      </c>
      <c r="H17" s="0" t="n">
        <v>0</v>
      </c>
      <c r="I17" s="0" t="n">
        <v>19</v>
      </c>
      <c r="J17" s="0" t="n">
        <v>27</v>
      </c>
      <c r="K17" s="0" t="n">
        <v>29</v>
      </c>
      <c r="L17" s="0" t="n">
        <v>19</v>
      </c>
    </row>
    <row r="18" customFormat="false" ht="15" hidden="false" customHeight="false" outlineLevel="0" collapsed="false">
      <c r="A18" s="0" t="n">
        <v>10</v>
      </c>
      <c r="B18" s="0" t="s">
        <v>130</v>
      </c>
      <c r="C18" s="0" t="s">
        <v>76</v>
      </c>
      <c r="D18" s="0" t="n">
        <v>26</v>
      </c>
      <c r="E18" s="0" t="n">
        <v>12</v>
      </c>
      <c r="F18" s="0" t="n">
        <v>0</v>
      </c>
      <c r="G18" s="0" t="n">
        <v>19</v>
      </c>
      <c r="H18" s="0" t="n">
        <v>27</v>
      </c>
      <c r="I18" s="0" t="n">
        <v>29</v>
      </c>
      <c r="J18" s="0" t="n">
        <v>19</v>
      </c>
      <c r="K18" s="0" t="n">
        <v>7</v>
      </c>
      <c r="L18" s="0" t="n">
        <v>4</v>
      </c>
    </row>
    <row r="19" customFormat="false" ht="15" hidden="false" customHeight="false" outlineLevel="0" collapsed="false">
      <c r="A19" s="0" t="n">
        <v>11</v>
      </c>
      <c r="B19" s="0" t="s">
        <v>131</v>
      </c>
      <c r="C19" s="0" t="s">
        <v>75</v>
      </c>
      <c r="D19" s="0" t="n">
        <v>0</v>
      </c>
      <c r="E19" s="0" t="n">
        <v>19</v>
      </c>
      <c r="F19" s="0" t="n">
        <v>27</v>
      </c>
      <c r="G19" s="0" t="n">
        <v>29</v>
      </c>
      <c r="H19" s="0" t="n">
        <v>19</v>
      </c>
      <c r="I19" s="0" t="n">
        <v>7</v>
      </c>
      <c r="J19" s="0" t="n">
        <v>4</v>
      </c>
      <c r="K19" s="0" t="n">
        <v>26</v>
      </c>
      <c r="L19" s="0" t="n">
        <v>3</v>
      </c>
    </row>
    <row r="20" customFormat="false" ht="15" hidden="false" customHeight="false" outlineLevel="0" collapsed="false">
      <c r="A20" s="0" t="n">
        <v>12</v>
      </c>
      <c r="B20" s="0" t="s">
        <v>132</v>
      </c>
      <c r="C20" s="0" t="s">
        <v>78</v>
      </c>
      <c r="D20" s="0" t="n">
        <v>27</v>
      </c>
      <c r="E20" s="0" t="n">
        <v>29</v>
      </c>
      <c r="F20" s="0" t="n">
        <v>19</v>
      </c>
      <c r="G20" s="0" t="n">
        <v>7</v>
      </c>
      <c r="H20" s="0" t="n">
        <v>4</v>
      </c>
      <c r="I20" s="0" t="n">
        <v>26</v>
      </c>
      <c r="J20" s="0" t="n">
        <v>3</v>
      </c>
      <c r="K20" s="0" t="n">
        <v>14</v>
      </c>
      <c r="L20" s="0" t="n">
        <v>6</v>
      </c>
    </row>
    <row r="21" customFormat="false" ht="15" hidden="false" customHeight="false" outlineLevel="0" collapsed="false">
      <c r="A21" s="0" t="n">
        <v>13</v>
      </c>
      <c r="B21" s="0" t="s">
        <v>133</v>
      </c>
      <c r="C21" s="0" t="s">
        <v>89</v>
      </c>
      <c r="D21" s="0" t="n">
        <v>19</v>
      </c>
      <c r="E21" s="0" t="n">
        <v>7</v>
      </c>
      <c r="F21" s="0" t="n">
        <v>4</v>
      </c>
      <c r="G21" s="0" t="n">
        <v>26</v>
      </c>
      <c r="H21" s="0" t="n">
        <v>3</v>
      </c>
      <c r="I21" s="0" t="n">
        <v>14</v>
      </c>
      <c r="J21" s="0" t="n">
        <v>6</v>
      </c>
      <c r="K21" s="0" t="n">
        <v>26</v>
      </c>
      <c r="L21" s="0" t="n">
        <v>17</v>
      </c>
    </row>
    <row r="22" customFormat="false" ht="15" hidden="false" customHeight="false" outlineLevel="0" collapsed="false">
      <c r="A22" s="0" t="n">
        <v>14</v>
      </c>
      <c r="B22" s="0" t="s">
        <v>134</v>
      </c>
      <c r="C22" s="0" t="s">
        <v>85</v>
      </c>
      <c r="D22" s="0" t="n">
        <v>4</v>
      </c>
      <c r="E22" s="0" t="n">
        <v>26</v>
      </c>
      <c r="F22" s="0" t="n">
        <v>3</v>
      </c>
      <c r="G22" s="0" t="n">
        <v>14</v>
      </c>
      <c r="H22" s="0" t="n">
        <v>6</v>
      </c>
      <c r="I22" s="0" t="n">
        <v>26</v>
      </c>
      <c r="J22" s="0" t="n">
        <v>17</v>
      </c>
      <c r="K22" s="0" t="n">
        <v>0</v>
      </c>
      <c r="L22" s="0" t="n">
        <v>13</v>
      </c>
    </row>
    <row r="23" customFormat="false" ht="15" hidden="false" customHeight="false" outlineLevel="0" collapsed="false">
      <c r="A23" s="0" t="n">
        <v>15</v>
      </c>
      <c r="B23" s="0" t="s">
        <v>135</v>
      </c>
      <c r="C23" s="0" t="s">
        <v>80</v>
      </c>
      <c r="D23" s="0" t="n">
        <v>3</v>
      </c>
      <c r="E23" s="0" t="n">
        <v>14</v>
      </c>
      <c r="F23" s="0" t="n">
        <v>6</v>
      </c>
      <c r="G23" s="0" t="n">
        <v>26</v>
      </c>
      <c r="H23" s="0" t="n">
        <v>17</v>
      </c>
      <c r="I23" s="0" t="n">
        <v>0</v>
      </c>
      <c r="J23" s="0" t="n">
        <v>13</v>
      </c>
      <c r="K23" s="0" t="n">
        <v>26</v>
      </c>
      <c r="L23" s="0" t="n">
        <v>8</v>
      </c>
    </row>
    <row r="24" customFormat="false" ht="15" hidden="false" customHeight="false" outlineLevel="0" collapsed="false">
      <c r="A24" s="0" t="n">
        <v>16</v>
      </c>
      <c r="B24" s="0" t="s">
        <v>136</v>
      </c>
      <c r="C24" s="0" t="s">
        <v>98</v>
      </c>
      <c r="D24" s="0" t="n">
        <v>6</v>
      </c>
      <c r="E24" s="0" t="n">
        <v>26</v>
      </c>
      <c r="F24" s="0" t="n">
        <v>17</v>
      </c>
      <c r="G24" s="0" t="n">
        <v>0</v>
      </c>
      <c r="H24" s="0" t="n">
        <v>13</v>
      </c>
      <c r="I24" s="0" t="n">
        <v>26</v>
      </c>
      <c r="J24" s="0" t="n">
        <v>8</v>
      </c>
      <c r="K24" s="0" t="n">
        <v>13</v>
      </c>
      <c r="L24" s="0" t="n">
        <v>26</v>
      </c>
    </row>
    <row r="25" customFormat="false" ht="15" hidden="false" customHeight="false" outlineLevel="0" collapsed="false">
      <c r="A25" s="0" t="n">
        <v>17</v>
      </c>
      <c r="B25" s="0" t="s">
        <v>137</v>
      </c>
      <c r="C25" s="0" t="s">
        <v>79</v>
      </c>
      <c r="D25" s="0" t="n">
        <v>17</v>
      </c>
      <c r="E25" s="0" t="n">
        <v>0</v>
      </c>
      <c r="F25" s="0" t="n">
        <v>13</v>
      </c>
      <c r="G25" s="0" t="n">
        <v>26</v>
      </c>
      <c r="H25" s="0" t="n">
        <v>8</v>
      </c>
      <c r="I25" s="0" t="n">
        <v>13</v>
      </c>
      <c r="J25" s="0" t="n">
        <v>26</v>
      </c>
      <c r="K25" s="0" t="n">
        <v>19</v>
      </c>
      <c r="L25" s="0" t="n">
        <v>7</v>
      </c>
    </row>
    <row r="26" customFormat="false" ht="15" hidden="false" customHeight="false" outlineLevel="0" collapsed="false">
      <c r="A26" s="0" t="n">
        <v>18</v>
      </c>
      <c r="B26" s="0" t="s">
        <v>138</v>
      </c>
      <c r="C26" s="0" t="s">
        <v>98</v>
      </c>
      <c r="D26" s="0" t="n">
        <v>13</v>
      </c>
      <c r="E26" s="0" t="n">
        <v>26</v>
      </c>
      <c r="F26" s="0" t="n">
        <v>8</v>
      </c>
      <c r="G26" s="0" t="n">
        <v>13</v>
      </c>
      <c r="H26" s="0" t="n">
        <v>26</v>
      </c>
      <c r="I26" s="0" t="n">
        <v>19</v>
      </c>
      <c r="J26" s="0" t="n">
        <v>7</v>
      </c>
      <c r="K26" s="0" t="n">
        <v>4</v>
      </c>
      <c r="L26" s="0" t="n">
        <v>26</v>
      </c>
    </row>
    <row r="27" customFormat="false" ht="15" hidden="false" customHeight="false" outlineLevel="0" collapsed="false">
      <c r="A27" s="0" t="n">
        <v>19</v>
      </c>
      <c r="B27" s="0" t="s">
        <v>139</v>
      </c>
      <c r="C27" s="0" t="s">
        <v>72</v>
      </c>
      <c r="D27" s="0" t="n">
        <v>8</v>
      </c>
      <c r="E27" s="0" t="n">
        <v>13</v>
      </c>
      <c r="F27" s="0" t="n">
        <v>26</v>
      </c>
      <c r="G27" s="0" t="n">
        <v>19</v>
      </c>
      <c r="H27" s="0" t="n">
        <v>7</v>
      </c>
      <c r="I27" s="0" t="n">
        <v>4</v>
      </c>
      <c r="J27" s="0" t="n">
        <v>26</v>
      </c>
      <c r="K27" s="0" t="n">
        <v>15</v>
      </c>
      <c r="L27" s="0" t="n">
        <v>0</v>
      </c>
    </row>
    <row r="28" customFormat="false" ht="15" hidden="false" customHeight="false" outlineLevel="0" collapsed="false">
      <c r="A28" s="0" t="n">
        <v>20</v>
      </c>
      <c r="B28" s="0" t="s">
        <v>140</v>
      </c>
      <c r="C28" s="0" t="s">
        <v>82</v>
      </c>
      <c r="D28" s="0" t="n">
        <v>26</v>
      </c>
      <c r="E28" s="0" t="n">
        <v>19</v>
      </c>
      <c r="F28" s="0" t="n">
        <v>7</v>
      </c>
      <c r="G28" s="0" t="n">
        <v>4</v>
      </c>
      <c r="H28" s="0" t="n">
        <v>26</v>
      </c>
      <c r="I28" s="0" t="n">
        <v>15</v>
      </c>
      <c r="J28" s="0" t="n">
        <v>0</v>
      </c>
      <c r="K28" s="0" t="n">
        <v>17</v>
      </c>
      <c r="L28" s="0" t="n">
        <v>10</v>
      </c>
    </row>
    <row r="29" customFormat="false" ht="15" hidden="false" customHeight="false" outlineLevel="0" collapsed="false">
      <c r="A29" s="0" t="n">
        <v>21</v>
      </c>
      <c r="B29" s="0" t="s">
        <v>141</v>
      </c>
      <c r="C29" s="0" t="s">
        <v>102</v>
      </c>
      <c r="D29" s="0" t="n">
        <v>7</v>
      </c>
      <c r="E29" s="0" t="n">
        <v>4</v>
      </c>
      <c r="F29" s="0" t="n">
        <v>26</v>
      </c>
      <c r="G29" s="0" t="n">
        <v>15</v>
      </c>
      <c r="H29" s="0" t="n">
        <v>0</v>
      </c>
      <c r="I29" s="0" t="n">
        <v>17</v>
      </c>
      <c r="J29" s="0" t="n">
        <v>10</v>
      </c>
      <c r="K29" s="0" t="n">
        <v>27</v>
      </c>
      <c r="L29" s="0" t="n">
        <v>29</v>
      </c>
    </row>
    <row r="30" customFormat="false" ht="15" hidden="false" customHeight="false" outlineLevel="0" collapsed="false">
      <c r="A30" s="0" t="n">
        <v>22</v>
      </c>
      <c r="B30" s="0" t="s">
        <v>142</v>
      </c>
      <c r="C30" s="0" t="s">
        <v>79</v>
      </c>
      <c r="D30" s="0" t="n">
        <v>26</v>
      </c>
      <c r="E30" s="0" t="n">
        <v>15</v>
      </c>
      <c r="F30" s="0" t="n">
        <v>0</v>
      </c>
      <c r="G30" s="0" t="n">
        <v>17</v>
      </c>
      <c r="H30" s="0" t="n">
        <v>10</v>
      </c>
      <c r="I30" s="0" t="n">
        <v>27</v>
      </c>
      <c r="J30" s="0" t="n">
        <v>29</v>
      </c>
      <c r="K30" s="0" t="n">
        <v>19</v>
      </c>
      <c r="L30" s="0" t="n">
        <v>7</v>
      </c>
    </row>
    <row r="31" customFormat="false" ht="15" hidden="false" customHeight="false" outlineLevel="0" collapsed="false">
      <c r="A31" s="0" t="n">
        <v>23</v>
      </c>
      <c r="B31" s="0" t="s">
        <v>143</v>
      </c>
      <c r="C31" s="0" t="s">
        <v>98</v>
      </c>
      <c r="D31" s="0" t="n">
        <v>0</v>
      </c>
      <c r="E31" s="0" t="n">
        <v>17</v>
      </c>
      <c r="F31" s="0" t="n">
        <v>10</v>
      </c>
      <c r="G31" s="0" t="n">
        <v>27</v>
      </c>
      <c r="H31" s="0" t="n">
        <v>29</v>
      </c>
      <c r="I31" s="0" t="n">
        <v>19</v>
      </c>
      <c r="J31" s="0" t="n">
        <v>7</v>
      </c>
      <c r="K31" s="0" t="n">
        <v>4</v>
      </c>
      <c r="L31" s="0" t="n">
        <v>26</v>
      </c>
    </row>
    <row r="32" customFormat="false" ht="15" hidden="false" customHeight="false" outlineLevel="0" collapsed="false">
      <c r="A32" s="0" t="n">
        <v>24</v>
      </c>
      <c r="B32" s="0" t="s">
        <v>144</v>
      </c>
      <c r="C32" s="0" t="s">
        <v>80</v>
      </c>
      <c r="D32" s="0" t="n">
        <v>10</v>
      </c>
      <c r="E32" s="0" t="n">
        <v>27</v>
      </c>
      <c r="F32" s="0" t="n">
        <v>29</v>
      </c>
      <c r="G32" s="0" t="n">
        <v>19</v>
      </c>
      <c r="H32" s="0" t="n">
        <v>7</v>
      </c>
      <c r="I32" s="0" t="n">
        <v>4</v>
      </c>
      <c r="J32" s="0" t="n">
        <v>26</v>
      </c>
      <c r="K32" s="0" t="n">
        <v>1</v>
      </c>
      <c r="L32" s="0" t="n">
        <v>8</v>
      </c>
    </row>
    <row r="33" customFormat="false" ht="15" hidden="false" customHeight="false" outlineLevel="0" collapsed="false">
      <c r="A33" s="0" t="n">
        <v>25</v>
      </c>
      <c r="B33" s="0" t="s">
        <v>145</v>
      </c>
      <c r="C33" s="0" t="s">
        <v>75</v>
      </c>
      <c r="D33" s="0" t="n">
        <v>29</v>
      </c>
      <c r="E33" s="0" t="n">
        <v>19</v>
      </c>
      <c r="F33" s="0" t="n">
        <v>7</v>
      </c>
      <c r="G33" s="0" t="n">
        <v>4</v>
      </c>
      <c r="H33" s="0" t="n">
        <v>26</v>
      </c>
      <c r="I33" s="0" t="n">
        <v>1</v>
      </c>
      <c r="J33" s="0" t="n">
        <v>8</v>
      </c>
      <c r="K33" s="0" t="n">
        <v>17</v>
      </c>
      <c r="L33" s="0" t="n">
        <v>3</v>
      </c>
    </row>
    <row r="34" customFormat="false" ht="15" hidden="false" customHeight="false" outlineLevel="0" collapsed="false">
      <c r="A34" s="0" t="n">
        <v>26</v>
      </c>
      <c r="B34" s="0" t="s">
        <v>146</v>
      </c>
      <c r="C34" s="0" t="s">
        <v>77</v>
      </c>
      <c r="D34" s="0" t="n">
        <v>7</v>
      </c>
      <c r="E34" s="0" t="n">
        <v>4</v>
      </c>
      <c r="F34" s="0" t="n">
        <v>26</v>
      </c>
      <c r="G34" s="0" t="n">
        <v>1</v>
      </c>
      <c r="H34" s="0" t="n">
        <v>8</v>
      </c>
      <c r="I34" s="0" t="n">
        <v>17</v>
      </c>
      <c r="J34" s="0" t="n">
        <v>3</v>
      </c>
      <c r="K34" s="0" t="n">
        <v>26</v>
      </c>
      <c r="L34" s="0" t="n">
        <v>5</v>
      </c>
    </row>
    <row r="35" customFormat="false" ht="15" hidden="false" customHeight="false" outlineLevel="0" collapsed="false">
      <c r="A35" s="0" t="n">
        <v>27</v>
      </c>
      <c r="B35" s="0" t="s">
        <v>147</v>
      </c>
      <c r="C35" s="0" t="s">
        <v>76</v>
      </c>
      <c r="D35" s="0" t="n">
        <v>26</v>
      </c>
      <c r="E35" s="0" t="n">
        <v>1</v>
      </c>
      <c r="F35" s="0" t="n">
        <v>8</v>
      </c>
      <c r="G35" s="0" t="n">
        <v>17</v>
      </c>
      <c r="H35" s="0" t="n">
        <v>3</v>
      </c>
      <c r="I35" s="0" t="n">
        <v>26</v>
      </c>
      <c r="J35" s="0" t="n">
        <v>5</v>
      </c>
      <c r="K35" s="0" t="n">
        <v>11</v>
      </c>
      <c r="L35" s="0" t="n">
        <v>4</v>
      </c>
    </row>
    <row r="36" customFormat="false" ht="15" hidden="false" customHeight="false" outlineLevel="0" collapsed="false">
      <c r="A36" s="0" t="n">
        <v>28</v>
      </c>
      <c r="B36" s="0" t="s">
        <v>148</v>
      </c>
      <c r="C36" s="0" t="s">
        <v>98</v>
      </c>
      <c r="D36" s="0" t="n">
        <v>8</v>
      </c>
      <c r="E36" s="0" t="n">
        <v>17</v>
      </c>
      <c r="F36" s="0" t="n">
        <v>3</v>
      </c>
      <c r="G36" s="0" t="n">
        <v>26</v>
      </c>
      <c r="H36" s="0" t="n">
        <v>5</v>
      </c>
      <c r="I36" s="0" t="n">
        <v>11</v>
      </c>
      <c r="J36" s="0" t="n">
        <v>4</v>
      </c>
      <c r="K36" s="0" t="n">
        <v>22</v>
      </c>
      <c r="L36" s="0" t="n">
        <v>26</v>
      </c>
    </row>
    <row r="37" customFormat="false" ht="15" hidden="false" customHeight="false" outlineLevel="0" collapsed="false">
      <c r="A37" s="0" t="n">
        <v>29</v>
      </c>
      <c r="B37" s="0" t="s">
        <v>149</v>
      </c>
      <c r="C37" s="0" t="s">
        <v>93</v>
      </c>
      <c r="D37" s="0" t="n">
        <v>3</v>
      </c>
      <c r="E37" s="0" t="n">
        <v>26</v>
      </c>
      <c r="F37" s="0" t="n">
        <v>5</v>
      </c>
      <c r="G37" s="0" t="n">
        <v>11</v>
      </c>
      <c r="H37" s="0" t="n">
        <v>4</v>
      </c>
      <c r="I37" s="0" t="n">
        <v>22</v>
      </c>
      <c r="J37" s="0" t="n">
        <v>26</v>
      </c>
      <c r="K37" s="0" t="n">
        <v>14</v>
      </c>
      <c r="L37" s="0" t="n">
        <v>21</v>
      </c>
    </row>
    <row r="38" customFormat="false" ht="15" hidden="false" customHeight="false" outlineLevel="0" collapsed="false">
      <c r="A38" s="0" t="n">
        <v>30</v>
      </c>
      <c r="B38" s="0" t="s">
        <v>150</v>
      </c>
      <c r="C38" s="0" t="s">
        <v>89</v>
      </c>
      <c r="D38" s="0" t="n">
        <v>5</v>
      </c>
      <c r="E38" s="0" t="n">
        <v>11</v>
      </c>
      <c r="F38" s="0" t="n">
        <v>4</v>
      </c>
      <c r="G38" s="0" t="n">
        <v>22</v>
      </c>
      <c r="H38" s="0" t="n">
        <v>26</v>
      </c>
      <c r="I38" s="0" t="n">
        <v>14</v>
      </c>
      <c r="J38" s="0" t="n">
        <v>21</v>
      </c>
      <c r="K38" s="0" t="n">
        <v>4</v>
      </c>
      <c r="L38" s="0" t="n">
        <v>17</v>
      </c>
    </row>
    <row r="39" customFormat="false" ht="15" hidden="false" customHeight="false" outlineLevel="0" collapsed="false">
      <c r="A39" s="0" t="n">
        <v>31</v>
      </c>
      <c r="B39" s="0" t="s">
        <v>151</v>
      </c>
      <c r="C39" s="0" t="s">
        <v>91</v>
      </c>
      <c r="D39" s="0" t="n">
        <v>4</v>
      </c>
      <c r="E39" s="0" t="n">
        <v>22</v>
      </c>
      <c r="F39" s="0" t="n">
        <v>26</v>
      </c>
      <c r="G39" s="0" t="n">
        <v>14</v>
      </c>
      <c r="H39" s="0" t="n">
        <v>21</v>
      </c>
      <c r="I39" s="0" t="n">
        <v>4</v>
      </c>
      <c r="J39" s="0" t="n">
        <v>17</v>
      </c>
      <c r="K39" s="0" t="n">
        <v>26</v>
      </c>
      <c r="L39" s="0" t="n">
        <v>19</v>
      </c>
    </row>
    <row r="40" customFormat="false" ht="15" hidden="false" customHeight="false" outlineLevel="0" collapsed="false">
      <c r="A40" s="0" t="n">
        <v>32</v>
      </c>
      <c r="B40" s="0" t="s">
        <v>152</v>
      </c>
      <c r="C40" s="0" t="s">
        <v>76</v>
      </c>
      <c r="D40" s="0" t="n">
        <v>26</v>
      </c>
      <c r="E40" s="0" t="n">
        <v>14</v>
      </c>
      <c r="F40" s="0" t="n">
        <v>21</v>
      </c>
      <c r="G40" s="0" t="n">
        <v>4</v>
      </c>
      <c r="H40" s="0" t="n">
        <v>17</v>
      </c>
      <c r="I40" s="0" t="n">
        <v>26</v>
      </c>
      <c r="J40" s="0" t="n">
        <v>19</v>
      </c>
      <c r="K40" s="0" t="n">
        <v>7</v>
      </c>
      <c r="L40" s="0" t="n">
        <v>4</v>
      </c>
    </row>
    <row r="41" customFormat="false" ht="15" hidden="false" customHeight="false" outlineLevel="0" collapsed="false">
      <c r="A41" s="0" t="n">
        <v>33</v>
      </c>
      <c r="B41" s="0" t="s">
        <v>153</v>
      </c>
      <c r="C41" s="0" t="s">
        <v>91</v>
      </c>
      <c r="D41" s="0" t="n">
        <v>21</v>
      </c>
      <c r="E41" s="0" t="n">
        <v>4</v>
      </c>
      <c r="F41" s="0" t="n">
        <v>17</v>
      </c>
      <c r="G41" s="0" t="n">
        <v>26</v>
      </c>
      <c r="H41" s="0" t="n">
        <v>19</v>
      </c>
      <c r="I41" s="0" t="n">
        <v>7</v>
      </c>
      <c r="J41" s="0" t="n">
        <v>4</v>
      </c>
      <c r="K41" s="0" t="n">
        <v>26</v>
      </c>
      <c r="L41" s="0" t="n">
        <v>19</v>
      </c>
    </row>
    <row r="42" customFormat="false" ht="15" hidden="false" customHeight="false" outlineLevel="0" collapsed="false">
      <c r="A42" s="0" t="n">
        <v>34</v>
      </c>
      <c r="B42" s="0" t="s">
        <v>154</v>
      </c>
      <c r="C42" s="0" t="s">
        <v>76</v>
      </c>
      <c r="D42" s="0" t="n">
        <v>17</v>
      </c>
      <c r="E42" s="0" t="n">
        <v>26</v>
      </c>
      <c r="F42" s="0" t="n">
        <v>19</v>
      </c>
      <c r="G42" s="0" t="n">
        <v>7</v>
      </c>
      <c r="H42" s="0" t="n">
        <v>4</v>
      </c>
      <c r="I42" s="0" t="n">
        <v>26</v>
      </c>
      <c r="J42" s="0" t="n">
        <v>19</v>
      </c>
      <c r="K42" s="0" t="n">
        <v>17</v>
      </c>
      <c r="L42" s="0" t="n">
        <v>4</v>
      </c>
    </row>
    <row r="43" customFormat="false" ht="15" hidden="false" customHeight="false" outlineLevel="0" collapsed="false">
      <c r="A43" s="0" t="n">
        <v>35</v>
      </c>
      <c r="B43" s="0" t="s">
        <v>155</v>
      </c>
      <c r="C43" s="0" t="s">
        <v>100</v>
      </c>
      <c r="D43" s="0" t="n">
        <v>19</v>
      </c>
      <c r="E43" s="0" t="n">
        <v>7</v>
      </c>
      <c r="F43" s="0" t="n">
        <v>4</v>
      </c>
      <c r="G43" s="0" t="n">
        <v>26</v>
      </c>
      <c r="H43" s="0" t="n">
        <v>19</v>
      </c>
      <c r="I43" s="0" t="n">
        <v>17</v>
      </c>
      <c r="J43" s="0" t="n">
        <v>4</v>
      </c>
      <c r="K43" s="0" t="n">
        <v>4</v>
      </c>
      <c r="L43" s="0" t="n">
        <v>27</v>
      </c>
    </row>
    <row r="44" customFormat="false" ht="15" hidden="false" customHeight="false" outlineLevel="0" collapsed="false">
      <c r="A44" s="0" t="n">
        <v>36</v>
      </c>
      <c r="B44" s="0" t="s">
        <v>156</v>
      </c>
      <c r="C44" s="0" t="s">
        <v>72</v>
      </c>
      <c r="D44" s="0" t="n">
        <v>4</v>
      </c>
      <c r="E44" s="0" t="n">
        <v>26</v>
      </c>
      <c r="F44" s="0" t="n">
        <v>19</v>
      </c>
      <c r="G44" s="0" t="n">
        <v>17</v>
      </c>
      <c r="H44" s="0" t="n">
        <v>4</v>
      </c>
      <c r="I44" s="0" t="n">
        <v>4</v>
      </c>
      <c r="J44" s="0" t="n">
        <v>27</v>
      </c>
      <c r="K44" s="0" t="n">
        <v>29</v>
      </c>
      <c r="L44" s="0" t="n">
        <v>0</v>
      </c>
    </row>
    <row r="45" customFormat="false" ht="15" hidden="false" customHeight="false" outlineLevel="0" collapsed="false">
      <c r="A45" s="0" t="n">
        <v>37</v>
      </c>
      <c r="B45" s="0" t="s">
        <v>157</v>
      </c>
      <c r="C45" s="0" t="s">
        <v>74</v>
      </c>
      <c r="D45" s="0" t="n">
        <v>19</v>
      </c>
      <c r="E45" s="0" t="n">
        <v>17</v>
      </c>
      <c r="F45" s="0" t="n">
        <v>4</v>
      </c>
      <c r="G45" s="0" t="n">
        <v>4</v>
      </c>
      <c r="H45" s="0" t="n">
        <v>27</v>
      </c>
      <c r="I45" s="0" t="n">
        <v>29</v>
      </c>
      <c r="J45" s="0" t="n">
        <v>0</v>
      </c>
      <c r="K45" s="0" t="n">
        <v>26</v>
      </c>
      <c r="L45" s="0" t="n">
        <v>2</v>
      </c>
    </row>
    <row r="46" customFormat="false" ht="15" hidden="false" customHeight="false" outlineLevel="0" collapsed="false">
      <c r="A46" s="0" t="n">
        <v>38</v>
      </c>
      <c r="B46" s="0" t="s">
        <v>158</v>
      </c>
      <c r="C46" s="0" t="s">
        <v>91</v>
      </c>
      <c r="D46" s="0" t="n">
        <v>4</v>
      </c>
      <c r="E46" s="0" t="n">
        <v>4</v>
      </c>
      <c r="F46" s="0" t="n">
        <v>27</v>
      </c>
      <c r="G46" s="0" t="n">
        <v>29</v>
      </c>
      <c r="H46" s="0" t="n">
        <v>0</v>
      </c>
      <c r="I46" s="0" t="n">
        <v>26</v>
      </c>
      <c r="J46" s="0" t="n">
        <v>2</v>
      </c>
      <c r="K46" s="0" t="n">
        <v>0</v>
      </c>
      <c r="L46" s="0" t="n">
        <v>19</v>
      </c>
    </row>
    <row r="47" customFormat="false" ht="15" hidden="false" customHeight="false" outlineLevel="0" collapsed="false">
      <c r="A47" s="0" t="n">
        <v>39</v>
      </c>
      <c r="B47" s="0" t="s">
        <v>159</v>
      </c>
      <c r="C47" s="0" t="s">
        <v>90</v>
      </c>
      <c r="D47" s="0" t="n">
        <v>27</v>
      </c>
      <c r="E47" s="0" t="n">
        <v>29</v>
      </c>
      <c r="F47" s="0" t="n">
        <v>0</v>
      </c>
      <c r="G47" s="0" t="n">
        <v>26</v>
      </c>
      <c r="H47" s="0" t="n">
        <v>2</v>
      </c>
      <c r="I47" s="0" t="n">
        <v>0</v>
      </c>
      <c r="J47" s="0" t="n">
        <v>19</v>
      </c>
      <c r="K47" s="0" t="n">
        <v>26</v>
      </c>
      <c r="L47" s="0" t="n">
        <v>18</v>
      </c>
    </row>
    <row r="48" customFormat="false" ht="15" hidden="false" customHeight="false" outlineLevel="0" collapsed="false">
      <c r="A48" s="0" t="n">
        <v>40</v>
      </c>
      <c r="B48" s="0" t="s">
        <v>160</v>
      </c>
      <c r="C48" s="0" t="s">
        <v>94</v>
      </c>
      <c r="D48" s="0" t="n">
        <v>0</v>
      </c>
      <c r="E48" s="0" t="n">
        <v>26</v>
      </c>
      <c r="F48" s="0" t="n">
        <v>2</v>
      </c>
      <c r="G48" s="0" t="n">
        <v>0</v>
      </c>
      <c r="H48" s="0" t="n">
        <v>19</v>
      </c>
      <c r="I48" s="0" t="n">
        <v>26</v>
      </c>
      <c r="J48" s="0" t="n">
        <v>18</v>
      </c>
      <c r="K48" s="0" t="n">
        <v>0</v>
      </c>
      <c r="L48" s="0" t="n">
        <v>22</v>
      </c>
    </row>
    <row r="49" customFormat="false" ht="15" hidden="false" customHeight="false" outlineLevel="0" collapsed="false">
      <c r="A49" s="0" t="n">
        <v>41</v>
      </c>
      <c r="B49" s="0" t="s">
        <v>161</v>
      </c>
      <c r="C49" s="0" t="s">
        <v>72</v>
      </c>
      <c r="D49" s="0" t="n">
        <v>2</v>
      </c>
      <c r="E49" s="0" t="n">
        <v>0</v>
      </c>
      <c r="F49" s="0" t="n">
        <v>19</v>
      </c>
      <c r="G49" s="0" t="n">
        <v>26</v>
      </c>
      <c r="H49" s="0" t="n">
        <v>18</v>
      </c>
      <c r="I49" s="0" t="n">
        <v>0</v>
      </c>
      <c r="J49" s="0" t="n">
        <v>22</v>
      </c>
      <c r="K49" s="0" t="n">
        <v>26</v>
      </c>
      <c r="L49" s="0" t="n">
        <v>0</v>
      </c>
    </row>
    <row r="50" customFormat="false" ht="15" hidden="false" customHeight="false" outlineLevel="0" collapsed="false">
      <c r="A50" s="0" t="n">
        <v>42</v>
      </c>
      <c r="B50" s="0" t="s">
        <v>162</v>
      </c>
      <c r="C50" s="0" t="s">
        <v>75</v>
      </c>
      <c r="D50" s="0" t="n">
        <v>19</v>
      </c>
      <c r="E50" s="0" t="n">
        <v>26</v>
      </c>
      <c r="F50" s="0" t="n">
        <v>18</v>
      </c>
      <c r="G50" s="0" t="n">
        <v>0</v>
      </c>
      <c r="H50" s="0" t="n">
        <v>22</v>
      </c>
      <c r="I50" s="0" t="n">
        <v>26</v>
      </c>
      <c r="J50" s="0" t="n">
        <v>0</v>
      </c>
      <c r="K50" s="0" t="n">
        <v>26</v>
      </c>
      <c r="L50" s="0" t="n">
        <v>3</v>
      </c>
    </row>
    <row r="51" customFormat="false" ht="15" hidden="false" customHeight="false" outlineLevel="0" collapsed="false">
      <c r="A51" s="0" t="n">
        <v>43</v>
      </c>
      <c r="B51" s="0" t="s">
        <v>163</v>
      </c>
      <c r="C51" s="0" t="s">
        <v>78</v>
      </c>
      <c r="D51" s="0" t="n">
        <v>18</v>
      </c>
      <c r="E51" s="0" t="n">
        <v>0</v>
      </c>
      <c r="F51" s="0" t="n">
        <v>22</v>
      </c>
      <c r="G51" s="0" t="n">
        <v>26</v>
      </c>
      <c r="H51" s="0" t="n">
        <v>0</v>
      </c>
      <c r="I51" s="0" t="n">
        <v>26</v>
      </c>
      <c r="J51" s="0" t="n">
        <v>3</v>
      </c>
      <c r="K51" s="0" t="n">
        <v>14</v>
      </c>
      <c r="L51" s="0" t="n">
        <v>6</v>
      </c>
    </row>
    <row r="52" customFormat="false" ht="15" hidden="false" customHeight="false" outlineLevel="0" collapsed="false">
      <c r="A52" s="0" t="n">
        <v>44</v>
      </c>
      <c r="B52" s="0" t="s">
        <v>164</v>
      </c>
      <c r="C52" s="0" t="s">
        <v>102</v>
      </c>
      <c r="D52" s="0" t="n">
        <v>22</v>
      </c>
      <c r="E52" s="0" t="n">
        <v>26</v>
      </c>
      <c r="F52" s="0" t="n">
        <v>0</v>
      </c>
      <c r="G52" s="0" t="n">
        <v>26</v>
      </c>
      <c r="H52" s="0" t="n">
        <v>3</v>
      </c>
      <c r="I52" s="0" t="n">
        <v>14</v>
      </c>
      <c r="J52" s="0" t="n">
        <v>6</v>
      </c>
      <c r="K52" s="0" t="n">
        <v>27</v>
      </c>
      <c r="L52" s="0" t="n">
        <v>29</v>
      </c>
    </row>
    <row r="53" customFormat="false" ht="15" hidden="false" customHeight="false" outlineLevel="0" collapsed="false">
      <c r="A53" s="0" t="n">
        <v>45</v>
      </c>
      <c r="B53" s="0" t="s">
        <v>165</v>
      </c>
      <c r="C53" s="0" t="s">
        <v>98</v>
      </c>
      <c r="D53" s="0" t="n">
        <v>0</v>
      </c>
      <c r="E53" s="0" t="n">
        <v>26</v>
      </c>
      <c r="F53" s="0" t="n">
        <v>3</v>
      </c>
      <c r="G53" s="0" t="n">
        <v>14</v>
      </c>
      <c r="H53" s="0" t="n">
        <v>6</v>
      </c>
      <c r="I53" s="0" t="n">
        <v>27</v>
      </c>
      <c r="J53" s="0" t="n">
        <v>29</v>
      </c>
      <c r="K53" s="0" t="n">
        <v>0</v>
      </c>
      <c r="L53" s="0" t="n">
        <v>26</v>
      </c>
    </row>
    <row r="54" customFormat="false" ht="15" hidden="false" customHeight="false" outlineLevel="0" collapsed="false">
      <c r="A54" s="0" t="n">
        <v>46</v>
      </c>
      <c r="B54" s="0" t="s">
        <v>166</v>
      </c>
      <c r="C54" s="0" t="s">
        <v>86</v>
      </c>
      <c r="D54" s="0" t="n">
        <v>3</v>
      </c>
      <c r="E54" s="0" t="n">
        <v>14</v>
      </c>
      <c r="F54" s="0" t="n">
        <v>6</v>
      </c>
      <c r="G54" s="0" t="n">
        <v>27</v>
      </c>
      <c r="H54" s="0" t="n">
        <v>29</v>
      </c>
      <c r="I54" s="0" t="n">
        <v>0</v>
      </c>
      <c r="J54" s="0" t="n">
        <v>26</v>
      </c>
      <c r="K54" s="0" t="n">
        <v>3</v>
      </c>
      <c r="L54" s="0" t="n">
        <v>14</v>
      </c>
    </row>
    <row r="55" customFormat="false" ht="15" hidden="false" customHeight="false" outlineLevel="0" collapsed="false">
      <c r="A55" s="0" t="n">
        <v>47</v>
      </c>
      <c r="B55" s="0" t="s">
        <v>167</v>
      </c>
      <c r="C55" s="0" t="s">
        <v>98</v>
      </c>
      <c r="D55" s="0" t="n">
        <v>6</v>
      </c>
      <c r="E55" s="0" t="n">
        <v>27</v>
      </c>
      <c r="F55" s="0" t="n">
        <v>29</v>
      </c>
      <c r="G55" s="0" t="n">
        <v>0</v>
      </c>
      <c r="H55" s="0" t="n">
        <v>26</v>
      </c>
      <c r="I55" s="0" t="n">
        <v>3</v>
      </c>
      <c r="J55" s="0" t="n">
        <v>14</v>
      </c>
      <c r="K55" s="0" t="n">
        <v>6</v>
      </c>
      <c r="L55" s="0" t="n">
        <v>26</v>
      </c>
    </row>
    <row r="56" customFormat="false" ht="15" hidden="false" customHeight="false" outlineLevel="0" collapsed="false">
      <c r="A56" s="0" t="n">
        <v>48</v>
      </c>
      <c r="B56" s="0" t="s">
        <v>168</v>
      </c>
      <c r="C56" s="0" t="s">
        <v>72</v>
      </c>
      <c r="D56" s="0" t="n">
        <v>29</v>
      </c>
      <c r="E56" s="0" t="n">
        <v>0</v>
      </c>
      <c r="F56" s="0" t="n">
        <v>26</v>
      </c>
      <c r="G56" s="0" t="n">
        <v>3</v>
      </c>
      <c r="H56" s="0" t="n">
        <v>14</v>
      </c>
      <c r="I56" s="0" t="n">
        <v>6</v>
      </c>
      <c r="J56" s="0" t="n">
        <v>26</v>
      </c>
      <c r="K56" s="0" t="n">
        <v>18</v>
      </c>
      <c r="L56" s="0" t="n">
        <v>0</v>
      </c>
    </row>
    <row r="57" customFormat="false" ht="15" hidden="false" customHeight="false" outlineLevel="0" collapsed="false">
      <c r="A57" s="0" t="n">
        <v>49</v>
      </c>
      <c r="B57" s="0" t="s">
        <v>169</v>
      </c>
      <c r="C57" s="0" t="s">
        <v>98</v>
      </c>
      <c r="D57" s="0" t="n">
        <v>26</v>
      </c>
      <c r="E57" s="0" t="n">
        <v>3</v>
      </c>
      <c r="F57" s="0" t="n">
        <v>14</v>
      </c>
      <c r="G57" s="0" t="n">
        <v>6</v>
      </c>
      <c r="H57" s="0" t="n">
        <v>26</v>
      </c>
      <c r="I57" s="0" t="n">
        <v>18</v>
      </c>
      <c r="J57" s="0" t="n">
        <v>0</v>
      </c>
      <c r="K57" s="0" t="n">
        <v>22</v>
      </c>
      <c r="L57" s="0" t="n">
        <v>26</v>
      </c>
    </row>
    <row r="58" customFormat="false" ht="15" hidden="false" customHeight="false" outlineLevel="0" collapsed="false">
      <c r="A58" s="0" t="n">
        <v>50</v>
      </c>
      <c r="B58" s="0" t="s">
        <v>170</v>
      </c>
      <c r="C58" s="0" t="s">
        <v>98</v>
      </c>
      <c r="D58" s="0" t="n">
        <v>14</v>
      </c>
      <c r="E58" s="0" t="n">
        <v>6</v>
      </c>
      <c r="F58" s="0" t="n">
        <v>26</v>
      </c>
      <c r="G58" s="0" t="n">
        <v>18</v>
      </c>
      <c r="H58" s="0" t="n">
        <v>0</v>
      </c>
      <c r="I58" s="0" t="n">
        <v>22</v>
      </c>
      <c r="J58" s="0" t="n">
        <v>26</v>
      </c>
      <c r="K58" s="0" t="n">
        <v>0</v>
      </c>
      <c r="L58" s="0" t="n">
        <v>26</v>
      </c>
    </row>
  </sheetData>
  <mergeCells count="2">
    <mergeCell ref="A1:B1"/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9" min="2" style="0" width="10"/>
  </cols>
  <sheetData>
    <row r="1" customFormat="false" ht="15" hidden="false" customHeight="false" outlineLevel="0" collapsed="false">
      <c r="A1" s="5" t="s">
        <v>171</v>
      </c>
      <c r="B1" s="5"/>
      <c r="C1" s="5"/>
      <c r="D1" s="5"/>
      <c r="E1" s="5"/>
      <c r="F1" s="5"/>
      <c r="G1" s="5"/>
      <c r="H1" s="5"/>
      <c r="I1" s="5"/>
      <c r="R1" s="6" t="s">
        <v>172</v>
      </c>
    </row>
    <row r="2" customFormat="false" ht="15" hidden="false" customHeight="false" outlineLevel="0" collapsed="false">
      <c r="A2" s="0" t="s">
        <v>173</v>
      </c>
      <c r="B2" s="2" t="s">
        <v>174</v>
      </c>
      <c r="C2" s="2" t="s">
        <v>175</v>
      </c>
      <c r="D2" s="2" t="s">
        <v>176</v>
      </c>
      <c r="E2" s="2" t="s">
        <v>177</v>
      </c>
      <c r="F2" s="2" t="s">
        <v>178</v>
      </c>
      <c r="G2" s="2" t="s">
        <v>179</v>
      </c>
      <c r="H2" s="2" t="s">
        <v>180</v>
      </c>
      <c r="I2" s="2" t="s">
        <v>181</v>
      </c>
      <c r="R2" s="6" t="s">
        <v>182</v>
      </c>
      <c r="S2" s="0" t="n">
        <v>90</v>
      </c>
    </row>
    <row r="3" customFormat="false" ht="15" hidden="false" customHeight="false" outlineLevel="0" collapsed="false">
      <c r="A3" s="0" t="n">
        <v>0</v>
      </c>
      <c r="B3" s="11" t="n">
        <v>0.0497</v>
      </c>
      <c r="C3" s="11" t="n">
        <v>-0.0138</v>
      </c>
      <c r="D3" s="11" t="n">
        <v>0.0648</v>
      </c>
      <c r="E3" s="11" t="n">
        <v>0.1523</v>
      </c>
      <c r="F3" s="11" t="n">
        <v>-0.0234</v>
      </c>
      <c r="G3" s="11" t="n">
        <v>-0.0234</v>
      </c>
      <c r="H3" s="11" t="n">
        <v>0.1579</v>
      </c>
      <c r="I3" s="11" t="n">
        <v>0.0767</v>
      </c>
      <c r="R3" s="6" t="s">
        <v>183</v>
      </c>
      <c r="S3" s="0" t="n">
        <v>63</v>
      </c>
    </row>
    <row r="4" customFormat="false" ht="15" hidden="false" customHeight="false" outlineLevel="0" collapsed="false">
      <c r="A4" s="0" t="n">
        <v>1</v>
      </c>
      <c r="B4" s="11" t="n">
        <v>-0.0469</v>
      </c>
      <c r="C4" s="11" t="n">
        <v>0.0543</v>
      </c>
      <c r="D4" s="11" t="n">
        <v>-0.0463</v>
      </c>
      <c r="E4" s="11" t="n">
        <v>-0.0466</v>
      </c>
      <c r="F4" s="11" t="n">
        <v>0.0242</v>
      </c>
      <c r="G4" s="11" t="n">
        <v>-0.1913</v>
      </c>
      <c r="H4" s="11" t="n">
        <v>-0.1725</v>
      </c>
      <c r="I4" s="11" t="n">
        <v>-0.0562</v>
      </c>
    </row>
    <row r="5" customFormat="false" ht="15" hidden="false" customHeight="false" outlineLevel="0" collapsed="false">
      <c r="A5" s="0" t="n">
        <v>2</v>
      </c>
      <c r="B5" s="11" t="n">
        <v>-0.1013</v>
      </c>
      <c r="C5" s="11" t="n">
        <v>0.0314</v>
      </c>
      <c r="D5" s="11" t="n">
        <v>-0.0908</v>
      </c>
      <c r="E5" s="11" t="n">
        <v>-0.1412</v>
      </c>
      <c r="F5" s="11" t="n">
        <v>0.1466</v>
      </c>
      <c r="G5" s="11" t="n">
        <v>-0.0226</v>
      </c>
      <c r="H5" s="11" t="n">
        <v>0.0068</v>
      </c>
      <c r="I5" s="11" t="n">
        <v>-0.1425</v>
      </c>
    </row>
    <row r="6" customFormat="false" ht="15" hidden="false" customHeight="false" outlineLevel="0" collapsed="false">
      <c r="A6" s="0" t="n">
        <v>3</v>
      </c>
      <c r="B6" s="11" t="n">
        <v>-0.0544</v>
      </c>
      <c r="C6" s="11" t="n">
        <v>0.0111</v>
      </c>
      <c r="D6" s="11" t="n">
        <v>-0.1151</v>
      </c>
      <c r="E6" s="11" t="n">
        <v>0.0376</v>
      </c>
      <c r="F6" s="11" t="n">
        <v>-0.0601</v>
      </c>
      <c r="G6" s="11" t="n">
        <v>-0.0292</v>
      </c>
      <c r="H6" s="11" t="n">
        <v>-0.0602</v>
      </c>
      <c r="I6" s="11" t="n">
        <v>0.1852</v>
      </c>
    </row>
    <row r="7" customFormat="false" ht="15" hidden="false" customHeight="false" outlineLevel="0" collapsed="false">
      <c r="A7" s="0" t="n">
        <v>4</v>
      </c>
      <c r="B7" s="11" t="n">
        <v>-0.0013</v>
      </c>
      <c r="C7" s="11" t="n">
        <v>-0.1058</v>
      </c>
      <c r="D7" s="11" t="n">
        <v>0.0823</v>
      </c>
      <c r="E7" s="11" t="n">
        <v>-0.1221</v>
      </c>
      <c r="F7" s="11" t="n">
        <v>0.0209</v>
      </c>
      <c r="G7" s="11" t="n">
        <v>-0.196</v>
      </c>
      <c r="H7" s="11" t="n">
        <v>-0.1328</v>
      </c>
      <c r="I7" s="11" t="n">
        <v>0.0197</v>
      </c>
    </row>
    <row r="8" customFormat="false" ht="15" hidden="false" customHeight="false" outlineLevel="0" collapsed="false">
      <c r="A8" s="0" t="n">
        <v>5</v>
      </c>
      <c r="B8" s="11" t="n">
        <v>0.0738</v>
      </c>
      <c r="C8" s="11" t="n">
        <v>0.0171</v>
      </c>
      <c r="D8" s="11" t="n">
        <v>-0.0116</v>
      </c>
      <c r="E8" s="11" t="n">
        <v>-0.0301</v>
      </c>
      <c r="F8" s="11" t="n">
        <v>-0.1479</v>
      </c>
      <c r="G8" s="11" t="n">
        <v>-0.072</v>
      </c>
      <c r="H8" s="11" t="n">
        <v>-0.0461</v>
      </c>
      <c r="I8" s="11" t="n">
        <v>0.1057</v>
      </c>
    </row>
    <row r="9" customFormat="false" ht="15" hidden="false" customHeight="false" outlineLevel="0" collapsed="false">
      <c r="A9" s="0" t="n">
        <v>6</v>
      </c>
      <c r="B9" s="11" t="n">
        <v>0.0344</v>
      </c>
      <c r="C9" s="11" t="n">
        <v>-0.1763</v>
      </c>
      <c r="D9" s="11" t="n">
        <v>0.0324</v>
      </c>
      <c r="E9" s="11" t="n">
        <v>-0.0385</v>
      </c>
      <c r="F9" s="11" t="n">
        <v>-0.0677</v>
      </c>
      <c r="G9" s="11" t="n">
        <v>0.0612</v>
      </c>
      <c r="H9" s="11" t="n">
        <v>0.1031</v>
      </c>
      <c r="I9" s="11" t="n">
        <v>0.0931</v>
      </c>
    </row>
    <row r="10" customFormat="false" ht="15" hidden="false" customHeight="false" outlineLevel="0" collapsed="false">
      <c r="A10" s="0" t="n">
        <v>7</v>
      </c>
      <c r="B10" s="11" t="n">
        <v>-0.0839</v>
      </c>
      <c r="C10" s="11" t="n">
        <v>-0.0309</v>
      </c>
      <c r="D10" s="11" t="n">
        <v>0.0331</v>
      </c>
      <c r="E10" s="11" t="n">
        <v>0.0976</v>
      </c>
      <c r="F10" s="11" t="n">
        <v>-0.0479</v>
      </c>
      <c r="G10" s="11" t="n">
        <v>-0.0186</v>
      </c>
      <c r="H10" s="11" t="n">
        <v>-0.1106</v>
      </c>
      <c r="I10" s="11" t="n">
        <v>-0.1196</v>
      </c>
    </row>
    <row r="11" customFormat="false" ht="15" hidden="false" customHeight="false" outlineLevel="0" collapsed="false">
      <c r="A11" s="0" t="n">
        <v>8</v>
      </c>
      <c r="B11" s="11" t="n">
        <v>0.0813</v>
      </c>
      <c r="C11" s="11" t="n">
        <v>0.1356</v>
      </c>
      <c r="D11" s="11" t="n">
        <v>-0.0072</v>
      </c>
      <c r="E11" s="11" t="n">
        <v>0.1004</v>
      </c>
      <c r="F11" s="11" t="n">
        <v>0.0362</v>
      </c>
      <c r="G11" s="11" t="n">
        <v>-0.0645</v>
      </c>
      <c r="H11" s="11" t="n">
        <v>0.0361</v>
      </c>
      <c r="I11" s="11" t="n">
        <v>0.1538</v>
      </c>
    </row>
    <row r="12" customFormat="false" ht="15" hidden="false" customHeight="false" outlineLevel="0" collapsed="false">
      <c r="A12" s="0" t="n">
        <v>9</v>
      </c>
      <c r="B12" s="11" t="n">
        <v>-0.0036</v>
      </c>
      <c r="C12" s="11" t="n">
        <v>0.1565</v>
      </c>
      <c r="D12" s="11" t="n">
        <v>-0.262</v>
      </c>
      <c r="E12" s="11" t="n">
        <v>0.0822</v>
      </c>
      <c r="F12" s="11" t="n">
        <v>0.0087</v>
      </c>
      <c r="G12" s="11" t="n">
        <v>-0.0299</v>
      </c>
      <c r="H12" s="11" t="n">
        <v>0.0092</v>
      </c>
      <c r="I12" s="11" t="n">
        <v>-0.1988</v>
      </c>
    </row>
    <row r="13" customFormat="false" ht="15" hidden="false" customHeight="false" outlineLevel="0" collapsed="false">
      <c r="A13" s="0" t="n">
        <v>10</v>
      </c>
      <c r="B13" s="11" t="n">
        <v>-0.022</v>
      </c>
      <c r="C13" s="11" t="n">
        <v>0.0357</v>
      </c>
      <c r="D13" s="11" t="n">
        <v>0.1478</v>
      </c>
      <c r="E13" s="11" t="n">
        <v>-0.0518</v>
      </c>
      <c r="F13" s="11" t="n">
        <v>-0.0808</v>
      </c>
      <c r="G13" s="11" t="n">
        <v>-0.0502</v>
      </c>
      <c r="H13" s="11" t="n">
        <v>0.0915</v>
      </c>
      <c r="I13" s="11" t="n">
        <v>0.0329</v>
      </c>
    </row>
    <row r="14" customFormat="false" ht="15" hidden="false" customHeight="false" outlineLevel="0" collapsed="false">
      <c r="A14" s="0" t="n">
        <v>11</v>
      </c>
      <c r="B14" s="11" t="n">
        <v>-0.053</v>
      </c>
      <c r="C14" s="11" t="n">
        <v>0.0513</v>
      </c>
      <c r="D14" s="11" t="n">
        <v>0.0097</v>
      </c>
      <c r="E14" s="11" t="n">
        <v>0.0969</v>
      </c>
      <c r="F14" s="11" t="n">
        <v>-0.0702</v>
      </c>
      <c r="G14" s="11" t="n">
        <v>-0.0328</v>
      </c>
      <c r="H14" s="11" t="n">
        <v>-0.0392</v>
      </c>
      <c r="I14" s="11" t="n">
        <v>-0.1464</v>
      </c>
    </row>
    <row r="15" customFormat="false" ht="15" hidden="false" customHeight="false" outlineLevel="0" collapsed="false">
      <c r="A15" s="0" t="n">
        <v>12</v>
      </c>
      <c r="B15" s="11" t="n">
        <v>0.0296</v>
      </c>
      <c r="C15" s="11" t="n">
        <v>0.0261</v>
      </c>
      <c r="D15" s="11" t="n">
        <v>0.0005</v>
      </c>
      <c r="E15" s="11" t="n">
        <v>-0.0235</v>
      </c>
      <c r="F15" s="11" t="n">
        <v>-0.1415</v>
      </c>
      <c r="G15" s="11" t="n">
        <v>-0.0421</v>
      </c>
      <c r="H15" s="11" t="n">
        <v>-0.0343</v>
      </c>
      <c r="I15" s="11" t="n">
        <v>-0.0802</v>
      </c>
    </row>
    <row r="16" customFormat="false" ht="15" hidden="false" customHeight="false" outlineLevel="0" collapsed="false">
      <c r="A16" s="0" t="n">
        <v>13</v>
      </c>
      <c r="B16" s="11" t="n">
        <v>-0.0161</v>
      </c>
      <c r="C16" s="11" t="n">
        <v>0.0404</v>
      </c>
      <c r="D16" s="11" t="n">
        <v>0.1886</v>
      </c>
      <c r="E16" s="11" t="n">
        <v>0.0175</v>
      </c>
      <c r="F16" s="11" t="n">
        <v>0.0258</v>
      </c>
      <c r="G16" s="11" t="n">
        <v>-0.0074</v>
      </c>
      <c r="H16" s="11" t="n">
        <v>-0.1919</v>
      </c>
      <c r="I16" s="11" t="n">
        <v>-0.0027</v>
      </c>
    </row>
    <row r="17" customFormat="false" ht="15" hidden="false" customHeight="false" outlineLevel="0" collapsed="false">
      <c r="A17" s="0" t="n">
        <v>14</v>
      </c>
      <c r="B17" s="11" t="n">
        <v>0.006</v>
      </c>
      <c r="C17" s="11" t="n">
        <v>0.2463</v>
      </c>
      <c r="D17" s="11" t="n">
        <v>-0.0192</v>
      </c>
      <c r="E17" s="11" t="n">
        <v>0.0302</v>
      </c>
      <c r="F17" s="11" t="n">
        <v>-0.0035</v>
      </c>
      <c r="G17" s="11" t="n">
        <v>-0.1169</v>
      </c>
      <c r="H17" s="11" t="n">
        <v>0.1143</v>
      </c>
      <c r="I17" s="11" t="n">
        <v>0.0752</v>
      </c>
    </row>
    <row r="18" customFormat="false" ht="15" hidden="false" customHeight="false" outlineLevel="0" collapsed="false">
      <c r="A18" s="0" t="n">
        <v>15</v>
      </c>
      <c r="B18" s="11" t="n">
        <v>0.0791</v>
      </c>
      <c r="C18" s="11" t="n">
        <v>-0.0909</v>
      </c>
      <c r="D18" s="11" t="n">
        <v>0.1403</v>
      </c>
      <c r="E18" s="11" t="n">
        <v>-0.1402</v>
      </c>
      <c r="F18" s="11" t="n">
        <v>0.0587</v>
      </c>
      <c r="G18" s="11" t="n">
        <v>0.219</v>
      </c>
      <c r="H18" s="11" t="n">
        <v>-0.0991</v>
      </c>
      <c r="I18" s="11" t="n">
        <v>-0.0566</v>
      </c>
    </row>
    <row r="19" customFormat="false" ht="15" hidden="false" customHeight="false" outlineLevel="0" collapsed="false">
      <c r="A19" s="0" t="n">
        <v>16</v>
      </c>
      <c r="B19" s="11" t="n">
        <v>0.01</v>
      </c>
      <c r="C19" s="11" t="n">
        <v>-0.0503</v>
      </c>
      <c r="D19" s="11" t="n">
        <v>-0.1551</v>
      </c>
      <c r="E19" s="11" t="n">
        <v>0.0069</v>
      </c>
      <c r="F19" s="11" t="n">
        <v>-0.1062</v>
      </c>
      <c r="G19" s="11" t="n">
        <v>0.0474</v>
      </c>
      <c r="H19" s="11" t="n">
        <v>-0.0919</v>
      </c>
      <c r="I19" s="11" t="n">
        <v>0.155</v>
      </c>
    </row>
    <row r="20" customFormat="false" ht="15" hidden="false" customHeight="false" outlineLevel="0" collapsed="false">
      <c r="A20" s="0" t="n">
        <v>17</v>
      </c>
      <c r="B20" s="11" t="n">
        <v>-0.0783</v>
      </c>
      <c r="C20" s="11" t="n">
        <v>-0.0322</v>
      </c>
      <c r="D20" s="11" t="n">
        <v>0.0814</v>
      </c>
      <c r="E20" s="11" t="n">
        <v>-0.1231</v>
      </c>
      <c r="F20" s="11" t="n">
        <v>0.0227</v>
      </c>
      <c r="G20" s="11" t="n">
        <v>0.1307</v>
      </c>
      <c r="H20" s="11" t="n">
        <v>-0.1607</v>
      </c>
      <c r="I20" s="11" t="n">
        <v>0.0185</v>
      </c>
    </row>
    <row r="21" customFormat="false" ht="15" hidden="false" customHeight="false" outlineLevel="0" collapsed="false">
      <c r="A21" s="0" t="n">
        <v>18</v>
      </c>
      <c r="B21" s="11" t="n">
        <v>0.026</v>
      </c>
      <c r="C21" s="11" t="n">
        <v>0.0782</v>
      </c>
      <c r="D21" s="11" t="n">
        <v>-0.1237</v>
      </c>
      <c r="E21" s="11" t="n">
        <v>-0.132</v>
      </c>
      <c r="F21" s="11" t="n">
        <v>0.0522</v>
      </c>
      <c r="G21" s="11" t="n">
        <v>0.0297</v>
      </c>
      <c r="H21" s="11" t="n">
        <v>0.025</v>
      </c>
      <c r="I21" s="11" t="n">
        <v>0.0346</v>
      </c>
    </row>
    <row r="22" customFormat="false" ht="15" hidden="false" customHeight="false" outlineLevel="0" collapsed="false">
      <c r="A22" s="0" t="n">
        <v>19</v>
      </c>
      <c r="B22" s="11" t="n">
        <v>-0.068</v>
      </c>
      <c r="C22" s="11" t="n">
        <v>0.0232</v>
      </c>
      <c r="D22" s="11" t="n">
        <v>0.0293</v>
      </c>
      <c r="E22" s="11" t="n">
        <v>-0.0714</v>
      </c>
      <c r="F22" s="11" t="n">
        <v>0.1866</v>
      </c>
      <c r="G22" s="11" t="n">
        <v>0.0474</v>
      </c>
      <c r="H22" s="11" t="n">
        <v>-0.1191</v>
      </c>
      <c r="I22" s="11" t="n">
        <v>0.0657</v>
      </c>
    </row>
    <row r="23" customFormat="false" ht="15" hidden="false" customHeight="false" outlineLevel="0" collapsed="false">
      <c r="A23" s="0" t="n">
        <v>20</v>
      </c>
      <c r="B23" s="11" t="n">
        <v>-0.0975</v>
      </c>
      <c r="C23" s="11" t="n">
        <v>0.0787</v>
      </c>
      <c r="D23" s="11" t="n">
        <v>0.1159</v>
      </c>
      <c r="E23" s="11" t="n">
        <v>-0.0821</v>
      </c>
      <c r="F23" s="11" t="n">
        <v>0.0963</v>
      </c>
      <c r="G23" s="11" t="n">
        <v>0.0413</v>
      </c>
      <c r="H23" s="11" t="n">
        <v>0.0822</v>
      </c>
      <c r="I23" s="11" t="n">
        <v>0.1897</v>
      </c>
    </row>
    <row r="24" customFormat="false" ht="15" hidden="false" customHeight="false" outlineLevel="0" collapsed="false">
      <c r="A24" s="0" t="n">
        <v>21</v>
      </c>
      <c r="B24" s="11" t="n">
        <v>-0.0245</v>
      </c>
      <c r="C24" s="11" t="n">
        <v>-0.0754</v>
      </c>
      <c r="D24" s="11" t="n">
        <v>-0.089</v>
      </c>
      <c r="E24" s="11" t="n">
        <v>-0.0816</v>
      </c>
      <c r="F24" s="11" t="n">
        <v>-0.0077</v>
      </c>
      <c r="G24" s="11" t="n">
        <v>0.0341</v>
      </c>
      <c r="H24" s="11" t="n">
        <v>0.0277</v>
      </c>
      <c r="I24" s="11" t="n">
        <v>0.0827</v>
      </c>
    </row>
    <row r="25" customFormat="false" ht="15" hidden="false" customHeight="false" outlineLevel="0" collapsed="false">
      <c r="A25" s="0" t="n">
        <v>22</v>
      </c>
      <c r="B25" s="11" t="n">
        <v>0.0013</v>
      </c>
      <c r="C25" s="11" t="n">
        <v>0.1454</v>
      </c>
      <c r="D25" s="11" t="n">
        <v>-0.0265</v>
      </c>
      <c r="E25" s="11" t="n">
        <v>0.272</v>
      </c>
      <c r="F25" s="11" t="n">
        <v>0.0626</v>
      </c>
      <c r="G25" s="11" t="n">
        <v>-0.0857</v>
      </c>
      <c r="H25" s="11" t="n">
        <v>-0.1071</v>
      </c>
      <c r="I25" s="11" t="n">
        <v>0.0482</v>
      </c>
    </row>
    <row r="26" customFormat="false" ht="15" hidden="false" customHeight="false" outlineLevel="0" collapsed="false">
      <c r="A26" s="0" t="n">
        <v>23</v>
      </c>
      <c r="B26" s="11" t="n">
        <v>-0.0223</v>
      </c>
      <c r="C26" s="11" t="n">
        <v>0.0714</v>
      </c>
      <c r="D26" s="11" t="n">
        <v>0.0473</v>
      </c>
      <c r="E26" s="11" t="n">
        <v>-0.0073</v>
      </c>
      <c r="F26" s="11" t="n">
        <v>-0.0847</v>
      </c>
      <c r="G26" s="11" t="n">
        <v>-0.1515</v>
      </c>
      <c r="H26" s="11" t="n">
        <v>-0.0447</v>
      </c>
      <c r="I26" s="11" t="n">
        <v>0.0856</v>
      </c>
    </row>
    <row r="27" customFormat="false" ht="15" hidden="false" customHeight="false" outlineLevel="0" collapsed="false">
      <c r="A27" s="0" t="n">
        <v>24</v>
      </c>
      <c r="B27" s="11" t="n">
        <v>0.0214</v>
      </c>
      <c r="C27" s="11" t="n">
        <v>-0.1246</v>
      </c>
      <c r="D27" s="11" t="n">
        <v>0.0173</v>
      </c>
      <c r="E27" s="11" t="n">
        <v>0.0385</v>
      </c>
      <c r="F27" s="11" t="n">
        <v>-0.0884</v>
      </c>
      <c r="G27" s="11" t="n">
        <v>0.0154</v>
      </c>
      <c r="H27" s="11" t="n">
        <v>0.0058</v>
      </c>
      <c r="I27" s="11" t="n">
        <v>-0.1143</v>
      </c>
    </row>
    <row r="28" customFormat="false" ht="15" hidden="false" customHeight="false" outlineLevel="0" collapsed="false">
      <c r="A28" s="0" t="n">
        <v>25</v>
      </c>
      <c r="B28" s="11" t="n">
        <v>0.0358</v>
      </c>
      <c r="C28" s="11" t="n">
        <v>0.0561</v>
      </c>
      <c r="D28" s="11" t="n">
        <v>0.1083</v>
      </c>
      <c r="E28" s="11" t="n">
        <v>0.1054</v>
      </c>
      <c r="F28" s="11" t="n">
        <v>-0.1378</v>
      </c>
      <c r="G28" s="11" t="n">
        <v>-0.0938</v>
      </c>
      <c r="H28" s="11" t="n">
        <v>0.0515</v>
      </c>
      <c r="I28" s="11" t="n">
        <v>0.0514</v>
      </c>
    </row>
    <row r="29" customFormat="false" ht="15" hidden="false" customHeight="false" outlineLevel="0" collapsed="false">
      <c r="A29" s="0" t="n">
        <v>26</v>
      </c>
      <c r="B29" s="11" t="n">
        <v>0.0515</v>
      </c>
      <c r="C29" s="11" t="n">
        <v>0.3853</v>
      </c>
      <c r="D29" s="11" t="n">
        <v>0.0571</v>
      </c>
      <c r="E29" s="11" t="n">
        <v>0.1136</v>
      </c>
      <c r="F29" s="11" t="n">
        <v>0.0954</v>
      </c>
      <c r="G29" s="11" t="n">
        <v>0.0651</v>
      </c>
      <c r="H29" s="11" t="n">
        <v>-0.0315</v>
      </c>
      <c r="I29" s="11" t="n">
        <v>0.0759</v>
      </c>
    </row>
    <row r="30" customFormat="false" ht="15" hidden="false" customHeight="false" outlineLevel="0" collapsed="false">
      <c r="A30" s="0" t="n">
        <v>27</v>
      </c>
      <c r="B30" s="11" t="n">
        <v>-0.0773</v>
      </c>
      <c r="C30" s="11" t="n">
        <v>-0.0237</v>
      </c>
      <c r="D30" s="11" t="n">
        <v>-0.0485</v>
      </c>
      <c r="E30" s="11" t="n">
        <v>0.0082</v>
      </c>
      <c r="F30" s="11" t="n">
        <v>0.2315</v>
      </c>
      <c r="G30" s="11" t="n">
        <v>-0.1867</v>
      </c>
      <c r="H30" s="11" t="n">
        <v>0.0686</v>
      </c>
      <c r="I30" s="11" t="n">
        <v>-0.1613</v>
      </c>
    </row>
    <row r="31" customFormat="false" ht="15" hidden="false" customHeight="false" outlineLevel="0" collapsed="false">
      <c r="A31" s="0" t="n">
        <v>28</v>
      </c>
      <c r="B31" s="11" t="n">
        <v>-0.0472</v>
      </c>
      <c r="C31" s="11" t="n">
        <v>0.1089</v>
      </c>
      <c r="D31" s="11" t="n">
        <v>0.0064</v>
      </c>
      <c r="E31" s="11" t="n">
        <v>-0.1078</v>
      </c>
      <c r="F31" s="11" t="n">
        <v>-0.0715</v>
      </c>
      <c r="G31" s="11" t="n">
        <v>0.068</v>
      </c>
      <c r="H31" s="11" t="n">
        <v>-0.073</v>
      </c>
      <c r="I31" s="11" t="n">
        <v>0.0216</v>
      </c>
    </row>
    <row r="32" customFormat="false" ht="15" hidden="false" customHeight="false" outlineLevel="0" collapsed="false">
      <c r="A32" s="0" t="n">
        <v>29</v>
      </c>
      <c r="B32" s="11" t="n">
        <v>0.0046</v>
      </c>
      <c r="C32" s="11" t="n">
        <v>-0.0652</v>
      </c>
      <c r="D32" s="11" t="n">
        <v>0.2144</v>
      </c>
      <c r="E32" s="11" t="n">
        <v>0.0634</v>
      </c>
      <c r="F32" s="11" t="n">
        <v>-0.2025</v>
      </c>
      <c r="G32" s="11" t="n">
        <v>0.0186</v>
      </c>
      <c r="H32" s="11" t="n">
        <v>-0.0662</v>
      </c>
      <c r="I32" s="11" t="n">
        <v>0.0852</v>
      </c>
    </row>
    <row r="35" customFormat="false" ht="15" hidden="false" customHeight="false" outlineLevel="0" collapsed="false">
      <c r="A35" s="5" t="s">
        <v>184</v>
      </c>
      <c r="B35" s="5"/>
      <c r="C35" s="5"/>
      <c r="D35" s="5"/>
      <c r="E35" s="5"/>
      <c r="F35" s="5"/>
      <c r="G35" s="5"/>
      <c r="H35" s="5"/>
      <c r="I35" s="5"/>
    </row>
    <row r="36" customFormat="false" ht="15" hidden="false" customHeight="false" outlineLevel="0" collapsed="false">
      <c r="A36" s="0" t="s">
        <v>185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190</v>
      </c>
      <c r="G36" s="2" t="s">
        <v>191</v>
      </c>
      <c r="H36" s="2" t="s">
        <v>192</v>
      </c>
      <c r="I36" s="2" t="s">
        <v>193</v>
      </c>
    </row>
    <row r="37" customFormat="false" ht="15" hidden="false" customHeight="false" outlineLevel="0" collapsed="false">
      <c r="A37" s="0" t="n">
        <v>0</v>
      </c>
      <c r="B37" s="11" t="n">
        <v>-0.0793</v>
      </c>
      <c r="C37" s="11" t="n">
        <v>-0.0115</v>
      </c>
      <c r="D37" s="11" t="n">
        <v>0.0505</v>
      </c>
      <c r="E37" s="11" t="n">
        <v>0.0866</v>
      </c>
      <c r="F37" s="11" t="n">
        <v>-0.12</v>
      </c>
      <c r="G37" s="11" t="n">
        <v>-0.0335</v>
      </c>
      <c r="H37" s="11" t="n">
        <v>-0.0475</v>
      </c>
      <c r="I37" s="11" t="n">
        <v>-0.0653</v>
      </c>
    </row>
    <row r="38" customFormat="false" ht="15" hidden="false" customHeight="false" outlineLevel="0" collapsed="false">
      <c r="A38" s="0" t="n">
        <v>1</v>
      </c>
      <c r="B38" s="11" t="n">
        <v>0.1765</v>
      </c>
      <c r="C38" s="11" t="n">
        <v>0.0405</v>
      </c>
      <c r="D38" s="11" t="n">
        <v>-0.1261</v>
      </c>
      <c r="E38" s="11" t="n">
        <v>0.0918</v>
      </c>
      <c r="F38" s="11" t="n">
        <v>0.2122</v>
      </c>
      <c r="G38" s="11" t="n">
        <v>0.1032</v>
      </c>
      <c r="H38" s="11" t="n">
        <v>-0.1519</v>
      </c>
      <c r="I38" s="11" t="n">
        <v>-0.0484</v>
      </c>
    </row>
    <row r="39" customFormat="false" ht="15" hidden="false" customHeight="false" outlineLevel="0" collapsed="false">
      <c r="A39" s="0" t="n">
        <v>2</v>
      </c>
      <c r="B39" s="11" t="n">
        <v>0.1267</v>
      </c>
      <c r="C39" s="11" t="n">
        <v>-0.0708</v>
      </c>
      <c r="D39" s="11" t="n">
        <v>0.0444</v>
      </c>
      <c r="E39" s="11" t="n">
        <v>0.0775</v>
      </c>
      <c r="F39" s="11" t="n">
        <v>-0.0927</v>
      </c>
      <c r="G39" s="11" t="n">
        <v>-0.006</v>
      </c>
      <c r="H39" s="11" t="n">
        <v>-0.3241</v>
      </c>
      <c r="I39" s="11" t="n">
        <v>-0.1024</v>
      </c>
    </row>
    <row r="40" customFormat="false" ht="15" hidden="false" customHeight="false" outlineLevel="0" collapsed="false">
      <c r="A40" s="0" t="n">
        <v>3</v>
      </c>
      <c r="B40" s="11" t="n">
        <v>-0.0253</v>
      </c>
      <c r="C40" s="11" t="n">
        <v>-0.1248</v>
      </c>
      <c r="D40" s="11" t="n">
        <v>0.1632</v>
      </c>
      <c r="E40" s="11" t="n">
        <v>-0.143</v>
      </c>
      <c r="F40" s="11" t="n">
        <v>-0.044</v>
      </c>
      <c r="G40" s="11" t="n">
        <v>0.0131</v>
      </c>
      <c r="H40" s="11" t="n">
        <v>0.1441</v>
      </c>
      <c r="I40" s="11" t="n">
        <v>-0.1436</v>
      </c>
    </row>
    <row r="41" customFormat="false" ht="15" hidden="false" customHeight="false" outlineLevel="0" collapsed="false">
      <c r="A41" s="0" t="n">
        <v>4</v>
      </c>
      <c r="B41" s="11" t="n">
        <v>0.1163</v>
      </c>
      <c r="C41" s="11" t="n">
        <v>0.001</v>
      </c>
      <c r="D41" s="11" t="n">
        <v>-0.0982</v>
      </c>
      <c r="E41" s="11" t="n">
        <v>0.0462</v>
      </c>
      <c r="F41" s="11" t="n">
        <v>0.0199</v>
      </c>
      <c r="G41" s="11" t="n">
        <v>-0.06</v>
      </c>
      <c r="H41" s="11" t="n">
        <v>0.007</v>
      </c>
      <c r="I41" s="11" t="n">
        <v>-0.0385</v>
      </c>
    </row>
    <row r="42" customFormat="false" ht="15" hidden="false" customHeight="false" outlineLevel="0" collapsed="false">
      <c r="A42" s="0" t="n">
        <v>5</v>
      </c>
      <c r="B42" s="11" t="n">
        <v>0.0114</v>
      </c>
      <c r="C42" s="11" t="n">
        <v>0.0662</v>
      </c>
      <c r="D42" s="11" t="n">
        <v>0.1586</v>
      </c>
      <c r="E42" s="11" t="n">
        <v>-0.1238</v>
      </c>
      <c r="F42" s="11" t="n">
        <v>0.2133</v>
      </c>
      <c r="G42" s="11" t="n">
        <v>-0.1952</v>
      </c>
      <c r="H42" s="11" t="n">
        <v>-0.0152</v>
      </c>
      <c r="I42" s="11" t="n">
        <v>0.0588</v>
      </c>
    </row>
    <row r="43" customFormat="false" ht="15" hidden="false" customHeight="false" outlineLevel="0" collapsed="false">
      <c r="A43" s="0" t="n">
        <v>6</v>
      </c>
      <c r="B43" s="11" t="n">
        <v>0.0281</v>
      </c>
      <c r="C43" s="11" t="n">
        <v>-0.0623</v>
      </c>
      <c r="D43" s="11" t="n">
        <v>-0.0208</v>
      </c>
      <c r="E43" s="11" t="n">
        <v>-0.0493</v>
      </c>
      <c r="F43" s="11" t="n">
        <v>-0.0589</v>
      </c>
      <c r="G43" s="11" t="n">
        <v>0.085</v>
      </c>
      <c r="H43" s="11" t="n">
        <v>0.0357</v>
      </c>
      <c r="I43" s="11" t="n">
        <v>-0.0693</v>
      </c>
    </row>
    <row r="44" customFormat="false" ht="15" hidden="false" customHeight="false" outlineLevel="0" collapsed="false">
      <c r="A44" s="0" t="n">
        <v>7</v>
      </c>
      <c r="B44" s="11" t="n">
        <v>0.09</v>
      </c>
      <c r="C44" s="11" t="n">
        <v>0.0307</v>
      </c>
      <c r="D44" s="11" t="n">
        <v>0.0813</v>
      </c>
      <c r="E44" s="11" t="n">
        <v>0.063</v>
      </c>
      <c r="F44" s="11" t="n">
        <v>-0.0829</v>
      </c>
      <c r="G44" s="11" t="n">
        <v>-0.056</v>
      </c>
      <c r="H44" s="11" t="n">
        <v>0.0747</v>
      </c>
      <c r="I44" s="11" t="n">
        <v>0.061</v>
      </c>
    </row>
    <row r="47" customFormat="false" ht="15" hidden="false" customHeight="false" outlineLevel="0" collapsed="false">
      <c r="A47" s="5" t="s">
        <v>194</v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0" t="s">
        <v>195</v>
      </c>
    </row>
    <row r="49" customFormat="false" ht="15" hidden="false" customHeight="false" outlineLevel="0" collapsed="false">
      <c r="A49" s="0" t="s">
        <v>185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s">
        <v>200</v>
      </c>
      <c r="G49" s="2" t="s">
        <v>201</v>
      </c>
      <c r="H49" s="2" t="s">
        <v>202</v>
      </c>
      <c r="I49" s="2" t="s">
        <v>203</v>
      </c>
    </row>
    <row r="50" customFormat="false" ht="15" hidden="false" customHeight="false" outlineLevel="0" collapsed="false">
      <c r="A50" s="0" t="n">
        <v>0</v>
      </c>
      <c r="B50" s="12" t="n">
        <f aca="false">INDEX($B$3:$B$32,Corpus!D$6+1)</f>
        <v>-0.068</v>
      </c>
      <c r="C50" s="12" t="n">
        <f aca="false">INDEX($C$3:$C$32,Corpus!D$6+1)</f>
        <v>0.0232</v>
      </c>
      <c r="D50" s="12" t="n">
        <f aca="false">INDEX($D$3:$D$32,Corpus!D$6+1)</f>
        <v>0.0293</v>
      </c>
      <c r="E50" s="12" t="n">
        <f aca="false">INDEX($E$3:$E$32,Corpus!D$6+1)</f>
        <v>-0.0714</v>
      </c>
      <c r="F50" s="12" t="n">
        <f aca="false">INDEX($F$3:$F$32,Corpus!D$6+1)</f>
        <v>0.1866</v>
      </c>
      <c r="G50" s="12" t="n">
        <f aca="false">INDEX($G$3:$G$32,Corpus!D$6+1)</f>
        <v>0.0474</v>
      </c>
      <c r="H50" s="12" t="n">
        <f aca="false">INDEX($H$3:$H$32,Corpus!D$6+1)</f>
        <v>-0.1191</v>
      </c>
      <c r="I50" s="12" t="n">
        <f aca="false">INDEX($I$3:$I$32,Corpus!D$6+1)</f>
        <v>0.0657</v>
      </c>
    </row>
    <row r="51" customFormat="false" ht="15" hidden="false" customHeight="false" outlineLevel="0" collapsed="false">
      <c r="A51" s="0" t="n">
        <v>1</v>
      </c>
      <c r="B51" s="12" t="n">
        <f aca="false">INDEX($B$3:$B$32,Corpus!E$6+1)</f>
        <v>-0.0839</v>
      </c>
      <c r="C51" s="12" t="n">
        <f aca="false">INDEX($C$3:$C$32,Corpus!E$6+1)</f>
        <v>-0.0309</v>
      </c>
      <c r="D51" s="12" t="n">
        <f aca="false">INDEX($D$3:$D$32,Corpus!E$6+1)</f>
        <v>0.0331</v>
      </c>
      <c r="E51" s="12" t="n">
        <f aca="false">INDEX($E$3:$E$32,Corpus!E$6+1)</f>
        <v>0.0976</v>
      </c>
      <c r="F51" s="12" t="n">
        <f aca="false">INDEX($F$3:$F$32,Corpus!E$6+1)</f>
        <v>-0.0479</v>
      </c>
      <c r="G51" s="12" t="n">
        <f aca="false">INDEX($G$3:$G$32,Corpus!E$6+1)</f>
        <v>-0.0186</v>
      </c>
      <c r="H51" s="12" t="n">
        <f aca="false">INDEX($H$3:$H$32,Corpus!E$6+1)</f>
        <v>-0.1106</v>
      </c>
      <c r="I51" s="12" t="n">
        <f aca="false">INDEX($I$3:$I$32,Corpus!E$6+1)</f>
        <v>-0.1196</v>
      </c>
    </row>
    <row r="52" customFormat="false" ht="15" hidden="false" customHeight="false" outlineLevel="0" collapsed="false">
      <c r="A52" s="0" t="n">
        <v>2</v>
      </c>
      <c r="B52" s="12" t="n">
        <f aca="false">INDEX($B$3:$B$32,Corpus!F$6+1)</f>
        <v>-0.0013</v>
      </c>
      <c r="C52" s="12" t="n">
        <f aca="false">INDEX($C$3:$C$32,Corpus!F$6+1)</f>
        <v>-0.1058</v>
      </c>
      <c r="D52" s="12" t="n">
        <f aca="false">INDEX($D$3:$D$32,Corpus!F$6+1)</f>
        <v>0.0823</v>
      </c>
      <c r="E52" s="12" t="n">
        <f aca="false">INDEX($E$3:$E$32,Corpus!F$6+1)</f>
        <v>-0.1221</v>
      </c>
      <c r="F52" s="12" t="n">
        <f aca="false">INDEX($F$3:$F$32,Corpus!F$6+1)</f>
        <v>0.0209</v>
      </c>
      <c r="G52" s="12" t="n">
        <f aca="false">INDEX($G$3:$G$32,Corpus!F$6+1)</f>
        <v>-0.196</v>
      </c>
      <c r="H52" s="12" t="n">
        <f aca="false">INDEX($H$3:$H$32,Corpus!F$6+1)</f>
        <v>-0.1328</v>
      </c>
      <c r="I52" s="12" t="n">
        <f aca="false">INDEX($I$3:$I$32,Corpus!F$6+1)</f>
        <v>0.0197</v>
      </c>
    </row>
    <row r="53" customFormat="false" ht="15" hidden="false" customHeight="false" outlineLevel="0" collapsed="false">
      <c r="A53" s="0" t="n">
        <v>3</v>
      </c>
      <c r="B53" s="12" t="n">
        <f aca="false">INDEX($B$3:$B$32,Corpus!G$6+1)</f>
        <v>0.0515</v>
      </c>
      <c r="C53" s="12" t="n">
        <f aca="false">INDEX($C$3:$C$32,Corpus!G$6+1)</f>
        <v>0.3853</v>
      </c>
      <c r="D53" s="12" t="n">
        <f aca="false">INDEX($D$3:$D$32,Corpus!G$6+1)</f>
        <v>0.0571</v>
      </c>
      <c r="E53" s="12" t="n">
        <f aca="false">INDEX($E$3:$E$32,Corpus!G$6+1)</f>
        <v>0.1136</v>
      </c>
      <c r="F53" s="12" t="n">
        <f aca="false">INDEX($F$3:$F$32,Corpus!G$6+1)</f>
        <v>0.0954</v>
      </c>
      <c r="G53" s="12" t="n">
        <f aca="false">INDEX($G$3:$G$32,Corpus!G$6+1)</f>
        <v>0.0651</v>
      </c>
      <c r="H53" s="12" t="n">
        <f aca="false">INDEX($H$3:$H$32,Corpus!G$6+1)</f>
        <v>-0.0315</v>
      </c>
      <c r="I53" s="12" t="n">
        <f aca="false">INDEX($I$3:$I$32,Corpus!G$6+1)</f>
        <v>0.0759</v>
      </c>
    </row>
    <row r="54" customFormat="false" ht="15" hidden="false" customHeight="false" outlineLevel="0" collapsed="false">
      <c r="A54" s="0" t="n">
        <v>4</v>
      </c>
      <c r="B54" s="12" t="n">
        <f aca="false">INDEX($B$3:$B$32,Corpus!H$6+1)</f>
        <v>-0.1013</v>
      </c>
      <c r="C54" s="12" t="n">
        <f aca="false">INDEX($C$3:$C$32,Corpus!H$6+1)</f>
        <v>0.0314</v>
      </c>
      <c r="D54" s="12" t="n">
        <f aca="false">INDEX($D$3:$D$32,Corpus!H$6+1)</f>
        <v>-0.0908</v>
      </c>
      <c r="E54" s="12" t="n">
        <f aca="false">INDEX($E$3:$E$32,Corpus!H$6+1)</f>
        <v>-0.1412</v>
      </c>
      <c r="F54" s="12" t="n">
        <f aca="false">INDEX($F$3:$F$32,Corpus!H$6+1)</f>
        <v>0.1466</v>
      </c>
      <c r="G54" s="12" t="n">
        <f aca="false">INDEX($G$3:$G$32,Corpus!H$6+1)</f>
        <v>-0.0226</v>
      </c>
      <c r="H54" s="12" t="n">
        <f aca="false">INDEX($H$3:$H$32,Corpus!H$6+1)</f>
        <v>0.0068</v>
      </c>
      <c r="I54" s="12" t="n">
        <f aca="false">INDEX($I$3:$I$32,Corpus!H$6+1)</f>
        <v>-0.1425</v>
      </c>
    </row>
    <row r="55" customFormat="false" ht="15" hidden="false" customHeight="false" outlineLevel="0" collapsed="false">
      <c r="A55" s="0" t="n">
        <v>5</v>
      </c>
      <c r="B55" s="12" t="n">
        <f aca="false">INDEX($B$3:$B$32,Corpus!I$6+1)</f>
        <v>0.0497</v>
      </c>
      <c r="C55" s="12" t="n">
        <f aca="false">INDEX($C$3:$C$32,Corpus!I$6+1)</f>
        <v>-0.0138</v>
      </c>
      <c r="D55" s="12" t="n">
        <f aca="false">INDEX($D$3:$D$32,Corpus!I$6+1)</f>
        <v>0.0648</v>
      </c>
      <c r="E55" s="12" t="n">
        <f aca="false">INDEX($E$3:$E$32,Corpus!I$6+1)</f>
        <v>0.1523</v>
      </c>
      <c r="F55" s="12" t="n">
        <f aca="false">INDEX($F$3:$F$32,Corpus!I$6+1)</f>
        <v>-0.0234</v>
      </c>
      <c r="G55" s="12" t="n">
        <f aca="false">INDEX($G$3:$G$32,Corpus!I$6+1)</f>
        <v>-0.0234</v>
      </c>
      <c r="H55" s="12" t="n">
        <f aca="false">INDEX($H$3:$H$32,Corpus!I$6+1)</f>
        <v>0.1579</v>
      </c>
      <c r="I55" s="12" t="n">
        <f aca="false">INDEX($I$3:$I$32,Corpus!I$6+1)</f>
        <v>0.0767</v>
      </c>
    </row>
    <row r="56" customFormat="false" ht="15" hidden="false" customHeight="false" outlineLevel="0" collapsed="false">
      <c r="A56" s="0" t="n">
        <v>6</v>
      </c>
      <c r="B56" s="12" t="n">
        <f aca="false">INDEX($B$3:$B$32,Corpus!J$6+1)</f>
        <v>-0.068</v>
      </c>
      <c r="C56" s="12" t="n">
        <f aca="false">INDEX($C$3:$C$32,Corpus!J$6+1)</f>
        <v>0.0232</v>
      </c>
      <c r="D56" s="12" t="n">
        <f aca="false">INDEX($D$3:$D$32,Corpus!J$6+1)</f>
        <v>0.0293</v>
      </c>
      <c r="E56" s="12" t="n">
        <f aca="false">INDEX($E$3:$E$32,Corpus!J$6+1)</f>
        <v>-0.0714</v>
      </c>
      <c r="F56" s="12" t="n">
        <f aca="false">INDEX($F$3:$F$32,Corpus!J$6+1)</f>
        <v>0.1866</v>
      </c>
      <c r="G56" s="12" t="n">
        <f aca="false">INDEX($G$3:$G$32,Corpus!J$6+1)</f>
        <v>0.0474</v>
      </c>
      <c r="H56" s="12" t="n">
        <f aca="false">INDEX($H$3:$H$32,Corpus!J$6+1)</f>
        <v>-0.1191</v>
      </c>
      <c r="I56" s="12" t="n">
        <f aca="false">INDEX($I$3:$I$32,Corpus!J$6+1)</f>
        <v>0.0657</v>
      </c>
    </row>
    <row r="57" customFormat="false" ht="15" hidden="false" customHeight="false" outlineLevel="0" collapsed="false">
      <c r="A57" s="0" t="n">
        <v>7</v>
      </c>
      <c r="B57" s="12" t="n">
        <f aca="false">INDEX($B$3:$B$32,Corpus!K$6+1)</f>
        <v>0.0515</v>
      </c>
      <c r="C57" s="12" t="n">
        <f aca="false">INDEX($C$3:$C$32,Corpus!K$6+1)</f>
        <v>0.3853</v>
      </c>
      <c r="D57" s="12" t="n">
        <f aca="false">INDEX($D$3:$D$32,Corpus!K$6+1)</f>
        <v>0.0571</v>
      </c>
      <c r="E57" s="12" t="n">
        <f aca="false">INDEX($E$3:$E$32,Corpus!K$6+1)</f>
        <v>0.1136</v>
      </c>
      <c r="F57" s="12" t="n">
        <f aca="false">INDEX($F$3:$F$32,Corpus!K$6+1)</f>
        <v>0.0954</v>
      </c>
      <c r="G57" s="12" t="n">
        <f aca="false">INDEX($G$3:$G$32,Corpus!K$6+1)</f>
        <v>0.0651</v>
      </c>
      <c r="H57" s="12" t="n">
        <f aca="false">INDEX($H$3:$H$32,Corpus!K$6+1)</f>
        <v>-0.0315</v>
      </c>
      <c r="I57" s="12" t="n">
        <f aca="false">INDEX($I$3:$I$32,Corpus!K$6+1)</f>
        <v>0.0759</v>
      </c>
    </row>
    <row r="60" customFormat="false" ht="15" hidden="false" customHeight="false" outlineLevel="0" collapsed="false">
      <c r="A60" s="5" t="s">
        <v>204</v>
      </c>
      <c r="B60" s="5"/>
      <c r="C60" s="5"/>
      <c r="D60" s="5"/>
      <c r="E60" s="5"/>
      <c r="F60" s="5"/>
      <c r="G60" s="5"/>
      <c r="H60" s="5"/>
      <c r="I60" s="5"/>
    </row>
    <row r="61" customFormat="false" ht="15" hidden="false" customHeight="false" outlineLevel="0" collapsed="false">
      <c r="A61" s="0" t="s">
        <v>205</v>
      </c>
    </row>
    <row r="62" customFormat="false" ht="15" hidden="false" customHeight="false" outlineLevel="0" collapsed="false">
      <c r="A62" s="0" t="s">
        <v>185</v>
      </c>
      <c r="B62" s="2" t="s">
        <v>206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</row>
    <row r="63" customFormat="false" ht="15" hidden="false" customHeight="false" outlineLevel="0" collapsed="false">
      <c r="A63" s="0" t="n">
        <v>0</v>
      </c>
      <c r="B63" s="9" t="n">
        <f aca="false">B50+B37</f>
        <v>-0.1473</v>
      </c>
      <c r="C63" s="9" t="n">
        <f aca="false">C50+C37</f>
        <v>0.0117</v>
      </c>
      <c r="D63" s="9" t="n">
        <f aca="false">D50+D37</f>
        <v>0.0798</v>
      </c>
      <c r="E63" s="9" t="n">
        <f aca="false">E50+E37</f>
        <v>0.0152</v>
      </c>
      <c r="F63" s="9" t="n">
        <f aca="false">F50+F37</f>
        <v>0.0666</v>
      </c>
      <c r="G63" s="9" t="n">
        <f aca="false">G50+G37</f>
        <v>0.0139</v>
      </c>
      <c r="H63" s="9" t="n">
        <f aca="false">H50+H37</f>
        <v>-0.1666</v>
      </c>
      <c r="I63" s="9" t="n">
        <f aca="false">I50+I37</f>
        <v>0.000399999999999998</v>
      </c>
    </row>
    <row r="64" customFormat="false" ht="15" hidden="false" customHeight="false" outlineLevel="0" collapsed="false">
      <c r="A64" s="0" t="n">
        <v>1</v>
      </c>
      <c r="B64" s="9" t="n">
        <f aca="false">B51+B38</f>
        <v>0.0926</v>
      </c>
      <c r="C64" s="9" t="n">
        <f aca="false">C51+C38</f>
        <v>0.0096</v>
      </c>
      <c r="D64" s="9" t="n">
        <f aca="false">D51+D38</f>
        <v>-0.093</v>
      </c>
      <c r="E64" s="9" t="n">
        <f aca="false">E51+E38</f>
        <v>0.1894</v>
      </c>
      <c r="F64" s="9" t="n">
        <f aca="false">F51+F38</f>
        <v>0.1643</v>
      </c>
      <c r="G64" s="9" t="n">
        <f aca="false">G51+G38</f>
        <v>0.0846</v>
      </c>
      <c r="H64" s="9" t="n">
        <f aca="false">H51+H38</f>
        <v>-0.2625</v>
      </c>
      <c r="I64" s="9" t="n">
        <f aca="false">I51+I38</f>
        <v>-0.168</v>
      </c>
    </row>
    <row r="65" customFormat="false" ht="15" hidden="false" customHeight="false" outlineLevel="0" collapsed="false">
      <c r="A65" s="0" t="n">
        <v>2</v>
      </c>
      <c r="B65" s="9" t="n">
        <f aca="false">B52+B39</f>
        <v>0.1254</v>
      </c>
      <c r="C65" s="9" t="n">
        <f aca="false">C52+C39</f>
        <v>-0.1766</v>
      </c>
      <c r="D65" s="9" t="n">
        <f aca="false">D52+D39</f>
        <v>0.1267</v>
      </c>
      <c r="E65" s="9" t="n">
        <f aca="false">E52+E39</f>
        <v>-0.0446</v>
      </c>
      <c r="F65" s="9" t="n">
        <f aca="false">F52+F39</f>
        <v>-0.0718</v>
      </c>
      <c r="G65" s="9" t="n">
        <f aca="false">G52+G39</f>
        <v>-0.202</v>
      </c>
      <c r="H65" s="9" t="n">
        <f aca="false">H52+H39</f>
        <v>-0.4569</v>
      </c>
      <c r="I65" s="9" t="n">
        <f aca="false">I52+I39</f>
        <v>-0.0827</v>
      </c>
    </row>
    <row r="66" customFormat="false" ht="15" hidden="false" customHeight="false" outlineLevel="0" collapsed="false">
      <c r="A66" s="0" t="n">
        <v>3</v>
      </c>
      <c r="B66" s="9" t="n">
        <f aca="false">B53+B40</f>
        <v>0.0262</v>
      </c>
      <c r="C66" s="9" t="n">
        <f aca="false">C53+C40</f>
        <v>0.2605</v>
      </c>
      <c r="D66" s="9" t="n">
        <f aca="false">D53+D40</f>
        <v>0.2203</v>
      </c>
      <c r="E66" s="9" t="n">
        <f aca="false">E53+E40</f>
        <v>-0.0294</v>
      </c>
      <c r="F66" s="9" t="n">
        <f aca="false">F53+F40</f>
        <v>0.0514</v>
      </c>
      <c r="G66" s="9" t="n">
        <f aca="false">G53+G40</f>
        <v>0.0782</v>
      </c>
      <c r="H66" s="9" t="n">
        <f aca="false">H53+H40</f>
        <v>0.1126</v>
      </c>
      <c r="I66" s="9" t="n">
        <f aca="false">I53+I40</f>
        <v>-0.0677</v>
      </c>
    </row>
    <row r="67" customFormat="false" ht="15" hidden="false" customHeight="false" outlineLevel="0" collapsed="false">
      <c r="A67" s="0" t="n">
        <v>4</v>
      </c>
      <c r="B67" s="9" t="n">
        <f aca="false">B54+B41</f>
        <v>0.015</v>
      </c>
      <c r="C67" s="9" t="n">
        <f aca="false">C54+C41</f>
        <v>0.0324</v>
      </c>
      <c r="D67" s="9" t="n">
        <f aca="false">D54+D41</f>
        <v>-0.189</v>
      </c>
      <c r="E67" s="9" t="n">
        <f aca="false">E54+E41</f>
        <v>-0.095</v>
      </c>
      <c r="F67" s="9" t="n">
        <f aca="false">F54+F41</f>
        <v>0.1665</v>
      </c>
      <c r="G67" s="9" t="n">
        <f aca="false">G54+G41</f>
        <v>-0.0826</v>
      </c>
      <c r="H67" s="9" t="n">
        <f aca="false">H54+H41</f>
        <v>0.0138</v>
      </c>
      <c r="I67" s="9" t="n">
        <f aca="false">I54+I41</f>
        <v>-0.181</v>
      </c>
    </row>
    <row r="68" customFormat="false" ht="15" hidden="false" customHeight="false" outlineLevel="0" collapsed="false">
      <c r="A68" s="0" t="n">
        <v>5</v>
      </c>
      <c r="B68" s="9" t="n">
        <f aca="false">B55+B42</f>
        <v>0.0611</v>
      </c>
      <c r="C68" s="9" t="n">
        <f aca="false">C55+C42</f>
        <v>0.0524</v>
      </c>
      <c r="D68" s="9" t="n">
        <f aca="false">D55+D42</f>
        <v>0.2234</v>
      </c>
      <c r="E68" s="9" t="n">
        <f aca="false">E55+E42</f>
        <v>0.0285</v>
      </c>
      <c r="F68" s="9" t="n">
        <f aca="false">F55+F42</f>
        <v>0.1899</v>
      </c>
      <c r="G68" s="9" t="n">
        <f aca="false">G55+G42</f>
        <v>-0.2186</v>
      </c>
      <c r="H68" s="9" t="n">
        <f aca="false">H55+H42</f>
        <v>0.1427</v>
      </c>
      <c r="I68" s="9" t="n">
        <f aca="false">I55+I42</f>
        <v>0.1355</v>
      </c>
    </row>
    <row r="69" customFormat="false" ht="15" hidden="false" customHeight="false" outlineLevel="0" collapsed="false">
      <c r="A69" s="0" t="n">
        <v>6</v>
      </c>
      <c r="B69" s="9" t="n">
        <f aca="false">B56+B43</f>
        <v>-0.0399</v>
      </c>
      <c r="C69" s="9" t="n">
        <f aca="false">C56+C43</f>
        <v>-0.0391</v>
      </c>
      <c r="D69" s="9" t="n">
        <f aca="false">D56+D43</f>
        <v>0.0085</v>
      </c>
      <c r="E69" s="9" t="n">
        <f aca="false">E56+E43</f>
        <v>-0.1207</v>
      </c>
      <c r="F69" s="9" t="n">
        <f aca="false">F56+F43</f>
        <v>0.1277</v>
      </c>
      <c r="G69" s="9" t="n">
        <f aca="false">G56+G43</f>
        <v>0.1324</v>
      </c>
      <c r="H69" s="9" t="n">
        <f aca="false">H56+H43</f>
        <v>-0.0834</v>
      </c>
      <c r="I69" s="9" t="n">
        <f aca="false">I56+I43</f>
        <v>-0.00360000000000001</v>
      </c>
    </row>
    <row r="70" customFormat="false" ht="15" hidden="false" customHeight="false" outlineLevel="0" collapsed="false">
      <c r="A70" s="0" t="n">
        <v>7</v>
      </c>
      <c r="B70" s="9" t="n">
        <f aca="false">B57+B44</f>
        <v>0.1415</v>
      </c>
      <c r="C70" s="9" t="n">
        <f aca="false">C57+C44</f>
        <v>0.416</v>
      </c>
      <c r="D70" s="9" t="n">
        <f aca="false">D57+D44</f>
        <v>0.1384</v>
      </c>
      <c r="E70" s="9" t="n">
        <f aca="false">E57+E44</f>
        <v>0.1766</v>
      </c>
      <c r="F70" s="9" t="n">
        <f aca="false">F57+F44</f>
        <v>0.0125</v>
      </c>
      <c r="G70" s="9" t="n">
        <f aca="false">G57+G44</f>
        <v>0.0091</v>
      </c>
      <c r="H70" s="9" t="n">
        <f aca="false">H57+H44</f>
        <v>0.0432</v>
      </c>
      <c r="I70" s="9" t="n">
        <f aca="false">I57+I44</f>
        <v>0.1369</v>
      </c>
    </row>
    <row r="73" customFormat="false" ht="15" hidden="false" customHeight="false" outlineLevel="0" collapsed="false">
      <c r="A73" s="5" t="s">
        <v>214</v>
      </c>
      <c r="B73" s="5"/>
      <c r="C73" s="5"/>
      <c r="D73" s="5"/>
      <c r="E73" s="5"/>
      <c r="F73" s="5"/>
      <c r="G73" s="5"/>
      <c r="H73" s="5"/>
      <c r="I73" s="5"/>
    </row>
    <row r="74" customFormat="false" ht="15" hidden="false" customHeight="false" outlineLevel="0" collapsed="false">
      <c r="A74" s="0" t="s">
        <v>215</v>
      </c>
      <c r="B74" s="11" t="n">
        <v>1</v>
      </c>
      <c r="C74" s="11" t="n">
        <v>1</v>
      </c>
      <c r="D74" s="11" t="n">
        <v>1</v>
      </c>
      <c r="E74" s="11" t="n">
        <v>1</v>
      </c>
      <c r="F74" s="11" t="n">
        <v>1</v>
      </c>
      <c r="G74" s="11" t="n">
        <v>1</v>
      </c>
      <c r="H74" s="11" t="n">
        <v>1</v>
      </c>
      <c r="I74" s="11" t="n">
        <v>1</v>
      </c>
    </row>
    <row r="75" customFormat="false" ht="15" hidden="false" customHeight="false" outlineLevel="0" collapsed="false">
      <c r="A75" s="0" t="s">
        <v>216</v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</row>
    <row r="77" customFormat="false" ht="15" hidden="false" customHeight="false" outlineLevel="0" collapsed="false">
      <c r="A77" s="2" t="s">
        <v>185</v>
      </c>
      <c r="B77" s="2" t="s">
        <v>217</v>
      </c>
      <c r="C77" s="2" t="s">
        <v>218</v>
      </c>
    </row>
    <row r="78" customFormat="false" ht="15" hidden="false" customHeight="false" outlineLevel="0" collapsed="false">
      <c r="A78" s="0" t="n">
        <v>0</v>
      </c>
      <c r="B78" s="9" t="n">
        <f aca="false">AVERAGE(B63:I63)</f>
        <v>-0.0157875</v>
      </c>
      <c r="C78" s="9" t="n">
        <f aca="false">VARP(B63:I63)</f>
        <v>0.00735297359375</v>
      </c>
    </row>
    <row r="79" customFormat="false" ht="15" hidden="false" customHeight="false" outlineLevel="0" collapsed="false">
      <c r="A79" s="0" t="n">
        <v>1</v>
      </c>
      <c r="B79" s="9" t="n">
        <f aca="false">AVERAGE(B64:I64)</f>
        <v>0.002125</v>
      </c>
      <c r="C79" s="9" t="n">
        <f aca="false">VARP(B64:I64)</f>
        <v>0.023054256875</v>
      </c>
    </row>
    <row r="80" customFormat="false" ht="15" hidden="false" customHeight="false" outlineLevel="0" collapsed="false">
      <c r="A80" s="0" t="n">
        <v>2</v>
      </c>
      <c r="B80" s="9" t="n">
        <f aca="false">AVERAGE(B65:I65)</f>
        <v>-0.0978125</v>
      </c>
      <c r="C80" s="9" t="n">
        <f aca="false">VARP(B65:I65)</f>
        <v>0.03124657859375</v>
      </c>
    </row>
    <row r="81" customFormat="false" ht="15" hidden="false" customHeight="false" outlineLevel="0" collapsed="false">
      <c r="A81" s="0" t="n">
        <v>3</v>
      </c>
      <c r="B81" s="9" t="n">
        <f aca="false">AVERAGE(B66:I66)</f>
        <v>0.0815125</v>
      </c>
      <c r="C81" s="9" t="n">
        <f aca="false">VARP(B66:I66)</f>
        <v>0.01135101109375</v>
      </c>
    </row>
    <row r="82" customFormat="false" ht="15" hidden="false" customHeight="false" outlineLevel="0" collapsed="false">
      <c r="A82" s="0" t="n">
        <v>4</v>
      </c>
      <c r="B82" s="9" t="n">
        <f aca="false">AVERAGE(B67:I67)</f>
        <v>-0.0399875</v>
      </c>
      <c r="C82" s="9" t="n">
        <f aca="false">VARP(B67:I67)</f>
        <v>0.01259065109375</v>
      </c>
    </row>
    <row r="83" customFormat="false" ht="15" hidden="false" customHeight="false" outlineLevel="0" collapsed="false">
      <c r="A83" s="0" t="n">
        <v>5</v>
      </c>
      <c r="B83" s="9" t="n">
        <f aca="false">AVERAGE(B68:I68)</f>
        <v>0.0768625</v>
      </c>
      <c r="C83" s="9" t="n">
        <f aca="false">VARP(B68:I68)</f>
        <v>0.01656344234375</v>
      </c>
    </row>
    <row r="84" customFormat="false" ht="15" hidden="false" customHeight="false" outlineLevel="0" collapsed="false">
      <c r="A84" s="0" t="n">
        <v>6</v>
      </c>
      <c r="B84" s="9" t="n">
        <f aca="false">AVERAGE(B69:I69)</f>
        <v>-0.0022625</v>
      </c>
      <c r="C84" s="9" t="n">
        <f aca="false">VARP(B69:I69)</f>
        <v>0.00731577234375</v>
      </c>
    </row>
    <row r="85" customFormat="false" ht="15" hidden="false" customHeight="false" outlineLevel="0" collapsed="false">
      <c r="A85" s="0" t="n">
        <v>7</v>
      </c>
      <c r="B85" s="9" t="n">
        <f aca="false">AVERAGE(B70:I70)</f>
        <v>0.134275</v>
      </c>
      <c r="C85" s="9" t="n">
        <f aca="false">VARP(B70:I70)</f>
        <v>0.015003634375</v>
      </c>
    </row>
    <row r="88" customFormat="false" ht="15" hidden="false" customHeight="false" outlineLevel="0" collapsed="false">
      <c r="A88" s="2" t="s">
        <v>219</v>
      </c>
    </row>
    <row r="89" customFormat="false" ht="15" hidden="false" customHeight="false" outlineLevel="0" collapsed="false">
      <c r="A89" s="0" t="s">
        <v>185</v>
      </c>
      <c r="B89" s="2" t="s">
        <v>220</v>
      </c>
      <c r="C89" s="2" t="s">
        <v>221</v>
      </c>
      <c r="D89" s="2" t="s">
        <v>222</v>
      </c>
      <c r="E89" s="2" t="s">
        <v>223</v>
      </c>
      <c r="F89" s="2" t="s">
        <v>224</v>
      </c>
      <c r="G89" s="2" t="s">
        <v>225</v>
      </c>
      <c r="H89" s="2" t="s">
        <v>226</v>
      </c>
      <c r="I89" s="2" t="s">
        <v>227</v>
      </c>
    </row>
    <row r="90" customFormat="false" ht="15" hidden="false" customHeight="false" outlineLevel="0" collapsed="false">
      <c r="A90" s="0" t="n">
        <v>0</v>
      </c>
      <c r="B90" s="10" t="n">
        <f aca="false">B74*(B63-B78)/SQRT(C78+Config!$B$10)+B75</f>
        <v>-1.53264090421612</v>
      </c>
      <c r="C90" s="10" t="n">
        <f aca="false">C74*(C63-B78)/SQRT(C78+Config!$B$10)+C75</f>
        <v>0.320338118845285</v>
      </c>
      <c r="D90" s="10" t="n">
        <f aca="false">D74*(D63-B78)/SQRT(C78+Config!$B$10)+D75</f>
        <v>1.11397253060932</v>
      </c>
      <c r="E90" s="10" t="n">
        <f aca="false">E74*(E63-B78)/SQRT(C78+Config!$B$10)+E75</f>
        <v>0.361126965264875</v>
      </c>
      <c r="F90" s="10" t="n">
        <f aca="false">F74*(F63-B78)/SQRT(C78+Config!$B$10)+F75</f>
        <v>0.960140309826863</v>
      </c>
      <c r="G90" s="10" t="n">
        <f aca="false">G74*(G63-B78)/SQRT(C78+Config!$B$10)+G75</f>
        <v>0.345976822309027</v>
      </c>
      <c r="H90" s="10" t="n">
        <f aca="false">H74*(H63-B78)/SQRT(C78+Config!$B$10)+H75</f>
        <v>-1.75756225732986</v>
      </c>
      <c r="I90" s="10" t="n">
        <f aca="false">I74*(I63-B78)/SQRT(C78+Config!$B$10)+I75</f>
        <v>0.188648414690607</v>
      </c>
    </row>
    <row r="91" customFormat="false" ht="15" hidden="false" customHeight="false" outlineLevel="0" collapsed="false">
      <c r="A91" s="0" t="n">
        <v>1</v>
      </c>
      <c r="B91" s="10" t="n">
        <f aca="false">B74*(B64-B79)/SQRT(C79+Config!$B$10)+B75</f>
        <v>0.595742877304125</v>
      </c>
      <c r="C91" s="10" t="n">
        <f aca="false">C74*(C64-B79)/SQRT(C79+Config!$B$10)+C75</f>
        <v>0.0492199835075804</v>
      </c>
      <c r="D91" s="10" t="n">
        <f aca="false">D74*(D64-B79)/SQRT(C79+Config!$B$10)+D75</f>
        <v>-0.626361328583088</v>
      </c>
      <c r="E91" s="10" t="n">
        <f aca="false">E74*(E64-B79)/SQRT(C79+Config!$B$10)+E75</f>
        <v>1.23313343296082</v>
      </c>
      <c r="F91" s="10" t="n">
        <f aca="false">F74*(F64-B79)/SQRT(C79+Config!$B$10)+F75</f>
        <v>1.0678596421862</v>
      </c>
      <c r="G91" s="10" t="n">
        <f aca="false">G74*(G64-B79)/SQRT(C79+Config!$B$10)+G75</f>
        <v>0.543065971877952</v>
      </c>
      <c r="H91" s="10" t="n">
        <f aca="false">H74*(H64-B79)/SQRT(C79+Config!$B$10)+H75</f>
        <v>-1.74245326230013</v>
      </c>
      <c r="I91" s="10" t="n">
        <f aca="false">I74*(I64-B79)/SQRT(C79+Config!$B$10)+I75</f>
        <v>-1.12020731695346</v>
      </c>
    </row>
    <row r="92" customFormat="false" ht="15" hidden="false" customHeight="false" outlineLevel="0" collapsed="false">
      <c r="A92" s="0" t="n">
        <v>2</v>
      </c>
      <c r="B92" s="10" t="n">
        <f aca="false">B74*(B65-B80)/SQRT(C80+Config!$B$10)+B75</f>
        <v>1.2625476935442</v>
      </c>
      <c r="C92" s="10" t="n">
        <f aca="false">C74*(C65-B80)/SQRT(C80+Config!$B$10)+C75</f>
        <v>-0.445642499434905</v>
      </c>
      <c r="D92" s="10" t="n">
        <f aca="false">D74*(D65-B80)/SQRT(C80+Config!$B$10)+D75</f>
        <v>1.2699008301365</v>
      </c>
      <c r="E92" s="10" t="n">
        <f aca="false">E74*(E65-B80)/SQRT(C80+Config!$B$10)+E75</f>
        <v>0.30098367762881</v>
      </c>
      <c r="F92" s="10" t="n">
        <f aca="false">F74*(F65-B80)/SQRT(C80+Config!$B$10)+F75</f>
        <v>0.147133435082348</v>
      </c>
      <c r="G92" s="10" t="n">
        <f aca="false">G74*(G65-B80)/SQRT(C80+Config!$B$10)+G75</f>
        <v>-0.589311475930499</v>
      </c>
      <c r="H92" s="10" t="n">
        <f aca="false">H74*(H65-B80)/SQRT(C80+Config!$B$10)+H75</f>
        <v>-2.03109187391187</v>
      </c>
      <c r="I92" s="10" t="n">
        <f aca="false">I74*(I65-B80)/SQRT(C80+Config!$B$10)+I75</f>
        <v>0.0854802128854196</v>
      </c>
    </row>
    <row r="93" customFormat="false" ht="15" hidden="false" customHeight="false" outlineLevel="0" collapsed="false">
      <c r="A93" s="0" t="n">
        <v>3</v>
      </c>
      <c r="B93" s="10" t="n">
        <f aca="false">B74*(B66-B81)/SQRT(C81+Config!$B$10)+B75</f>
        <v>-0.518937190300814</v>
      </c>
      <c r="C93" s="10" t="n">
        <f aca="false">C74*(C66-B81)/SQRT(C81+Config!$B$10)+C75</f>
        <v>1.67924556563104</v>
      </c>
      <c r="D93" s="10" t="n">
        <f aca="false">D74*(D66-B81)/SQRT(C81+Config!$B$10)+D75</f>
        <v>1.30209257037513</v>
      </c>
      <c r="E93" s="10" t="n">
        <f aca="false">E74*(E66-B81)/SQRT(C81+Config!$B$10)+E75</f>
        <v>-1.04057168125178</v>
      </c>
      <c r="F93" s="10" t="n">
        <f aca="false">F74*(F66-B81)/SQRT(C81+Config!$B$10)+F75</f>
        <v>-0.282512924618002</v>
      </c>
      <c r="G93" s="10" t="n">
        <f aca="false">G74*(G66-B81)/SQRT(C81+Config!$B$10)+G75</f>
        <v>-0.0310775944473933</v>
      </c>
      <c r="H93" s="10" t="n">
        <f aca="false">H74*(H66-B81)/SQRT(C81+Config!$B$10)+H75</f>
        <v>0.291660292040254</v>
      </c>
      <c r="I93" s="10" t="n">
        <f aca="false">I74*(I66-B81)/SQRT(C81+Config!$B$10)+I75</f>
        <v>-1.39989903742843</v>
      </c>
    </row>
    <row r="94" customFormat="false" ht="15" hidden="false" customHeight="false" outlineLevel="0" collapsed="false">
      <c r="A94" s="0" t="n">
        <v>4</v>
      </c>
      <c r="B94" s="10" t="n">
        <f aca="false">B74*(B67-B82)/SQRT(C82+Config!$B$10)+B75</f>
        <v>0.489854928410785</v>
      </c>
      <c r="C94" s="10" t="n">
        <f aca="false">C74*(C67-B82)/SQRT(C82+Config!$B$10)+C75</f>
        <v>0.644862443834248</v>
      </c>
      <c r="D94" s="10" t="n">
        <f aca="false">D74*(D67-B82)/SQRT(C82+Config!$B$10)+D75</f>
        <v>-1.32747456276085</v>
      </c>
      <c r="E94" s="10" t="n">
        <f aca="false">E74*(E67-B82)/SQRT(C82+Config!$B$10)+E75</f>
        <v>-0.490077640358233</v>
      </c>
      <c r="F94" s="10" t="n">
        <f aca="false">F74*(F67-B82)/SQRT(C82+Config!$B$10)+F75</f>
        <v>1.83948932994266</v>
      </c>
      <c r="G94" s="10" t="n">
        <f aca="false">G74*(G67-B82)/SQRT(C82+Config!$B$10)+G75</f>
        <v>-0.37961251442427</v>
      </c>
      <c r="H94" s="10" t="n">
        <f aca="false">H74*(H67-B82)/SQRT(C82+Config!$B$10)+H75</f>
        <v>0.479164754933305</v>
      </c>
      <c r="I94" s="10" t="n">
        <f aca="false">I74*(I67-B82)/SQRT(C82+Config!$B$10)+I75</f>
        <v>-1.25620673957765</v>
      </c>
    </row>
    <row r="95" customFormat="false" ht="15" hidden="false" customHeight="false" outlineLevel="0" collapsed="false">
      <c r="A95" s="0" t="n">
        <v>5</v>
      </c>
      <c r="B95" s="10" t="n">
        <f aca="false">B74*(B68-B83)/SQRT(C83+Config!$B$10)+B75</f>
        <v>-0.122438708142268</v>
      </c>
      <c r="C95" s="10" t="n">
        <f aca="false">C74*(C68-B83)/SQRT(C83+Config!$B$10)+C75</f>
        <v>-0.190017884087564</v>
      </c>
      <c r="D95" s="10" t="n">
        <f aca="false">D74*(D68-B83)/SQRT(C83+Config!$B$10)+D75</f>
        <v>1.13826247069929</v>
      </c>
      <c r="E95" s="10" t="n">
        <f aca="false">E74*(E68-B83)/SQRT(C83+Config!$B$10)+E75</f>
        <v>-0.375666424902804</v>
      </c>
      <c r="F95" s="10" t="n">
        <f aca="false">F74*(F68-B83)/SQRT(C83+Config!$B$10)+F75</f>
        <v>0.878043804703038</v>
      </c>
      <c r="G95" s="10" t="n">
        <f aca="false">G74*(G68-B83)/SQRT(C83+Config!$B$10)+G75</f>
        <v>-2.29507037617668</v>
      </c>
      <c r="H95" s="10" t="n">
        <f aca="false">H74*(H68-B83)/SQRT(C83+Config!$B$10)+H75</f>
        <v>0.511407355896373</v>
      </c>
      <c r="I95" s="10" t="n">
        <f aca="false">I74*(I68-B83)/SQRT(C83+Config!$B$10)+I75</f>
        <v>0.45547976201061</v>
      </c>
    </row>
    <row r="96" customFormat="false" ht="15" hidden="false" customHeight="false" outlineLevel="0" collapsed="false">
      <c r="A96" s="0" t="n">
        <v>6</v>
      </c>
      <c r="B96" s="10" t="n">
        <f aca="false">B74*(B69-B84)/SQRT(C84+Config!$B$10)+B75</f>
        <v>-0.439738063279729</v>
      </c>
      <c r="C96" s="10" t="n">
        <f aca="false">C74*(C69-B84)/SQRT(C84+Config!$B$10)+C75</f>
        <v>-0.430391256222305</v>
      </c>
      <c r="D96" s="10" t="n">
        <f aca="false">D74*(D69-B84)/SQRT(C84+Config!$B$10)+D75</f>
        <v>0.125743763694403</v>
      </c>
      <c r="E96" s="10" t="n">
        <f aca="false">E74*(E69-B84)/SQRT(C84+Config!$B$10)+E75</f>
        <v>-1.38376557607952</v>
      </c>
      <c r="F96" s="10" t="n">
        <f aca="false">F74*(F69-B84)/SQRT(C84+Config!$B$10)+F75</f>
        <v>1.51841801525053</v>
      </c>
      <c r="G96" s="10" t="n">
        <f aca="false">G74*(G69-B84)/SQRT(C84+Config!$B$10)+G75</f>
        <v>1.57333050671289</v>
      </c>
      <c r="H96" s="10" t="n">
        <f aca="false">H74*(H69-B84)/SQRT(C84+Config!$B$10)+H75</f>
        <v>-0.947970697027141</v>
      </c>
      <c r="I96" s="10" t="n">
        <f aca="false">I74*(I69-B84)/SQRT(C84+Config!$B$10)+I75</f>
        <v>-0.0156266930491302</v>
      </c>
    </row>
    <row r="97" customFormat="false" ht="15" hidden="false" customHeight="false" outlineLevel="0" collapsed="false">
      <c r="A97" s="0" t="n">
        <v>7</v>
      </c>
      <c r="B97" s="10" t="n">
        <f aca="false">B74*(B70-B85)/SQRT(C85+Config!$B$10)+B75</f>
        <v>0.0589650856559286</v>
      </c>
      <c r="C97" s="10" t="n">
        <f aca="false">C74*(C70-B85)/SQRT(C85+Config!$B$10)+C75</f>
        <v>2.29923027770471</v>
      </c>
      <c r="D97" s="10" t="n">
        <f aca="false">D74*(D70-B85)/SQRT(C85+Config!$B$10)+D75</f>
        <v>0.0336651873122084</v>
      </c>
      <c r="E97" s="10" t="n">
        <f aca="false">E74*(E70-B85)/SQRT(C85+Config!$B$10)+E75</f>
        <v>0.345425224967084</v>
      </c>
      <c r="F97" s="10" t="n">
        <f aca="false">F74*(F70-B85)/SQRT(C85+Config!$B$10)+F75</f>
        <v>-0.993837135744045</v>
      </c>
      <c r="G97" s="10" t="n">
        <f aca="false">G74*(G70-B85)/SQRT(C85+Config!$B$10)+G75</f>
        <v>-1.02158541134683</v>
      </c>
      <c r="H97" s="10" t="n">
        <f aca="false">H74*(H70-B85)/SQRT(C85+Config!$B$10)+H75</f>
        <v>-0.743286529565912</v>
      </c>
      <c r="I97" s="10" t="n">
        <f aca="false">I74*(I70-B85)/SQRT(C85+Config!$B$10)+I75</f>
        <v>0.0214233010168598</v>
      </c>
    </row>
  </sheetData>
  <mergeCells count="5">
    <mergeCell ref="A1:I1"/>
    <mergeCell ref="A35:I35"/>
    <mergeCell ref="A47:I47"/>
    <mergeCell ref="A60:I60"/>
    <mergeCell ref="A73:I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9" min="2" style="0" width="9"/>
  </cols>
  <sheetData>
    <row r="1" customFormat="false" ht="15" hidden="false" customHeight="false" outlineLevel="0" collapsed="false">
      <c r="A1" s="5" t="s">
        <v>228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 t="s">
        <v>229</v>
      </c>
      <c r="S1" s="0" t="n">
        <v>218</v>
      </c>
    </row>
    <row r="3" customFormat="false" ht="15" hidden="false" customHeight="false" outlineLevel="0" collapsed="false">
      <c r="A3" s="2" t="s">
        <v>230</v>
      </c>
    </row>
    <row r="4" customFormat="false" ht="15" hidden="false" customHeight="false" outlineLevel="0" collapsed="false">
      <c r="B4" s="11" t="n">
        <v>0.0257</v>
      </c>
      <c r="C4" s="11" t="n">
        <v>-0.0908</v>
      </c>
      <c r="D4" s="11" t="n">
        <v>-0.0379</v>
      </c>
      <c r="E4" s="11" t="n">
        <v>-0.0535</v>
      </c>
      <c r="F4" s="11" t="n">
        <v>0.0858</v>
      </c>
      <c r="G4" s="11" t="n">
        <v>-0.0413</v>
      </c>
      <c r="H4" s="11" t="n">
        <v>0.0498</v>
      </c>
      <c r="I4" s="11" t="n">
        <v>0.201</v>
      </c>
    </row>
    <row r="5" customFormat="false" ht="15" hidden="false" customHeight="false" outlineLevel="0" collapsed="false">
      <c r="B5" s="11" t="n">
        <v>0.1263</v>
      </c>
      <c r="C5" s="11" t="n">
        <v>-0.0439</v>
      </c>
      <c r="D5" s="11" t="n">
        <v>-0.0346</v>
      </c>
      <c r="E5" s="11" t="n">
        <v>0.0455</v>
      </c>
      <c r="F5" s="11" t="n">
        <v>-0.1669</v>
      </c>
      <c r="G5" s="11" t="n">
        <v>-0.0862</v>
      </c>
      <c r="H5" s="11" t="n">
        <v>0.0493</v>
      </c>
      <c r="I5" s="11" t="n">
        <v>-0.0124</v>
      </c>
    </row>
    <row r="6" customFormat="false" ht="15" hidden="false" customHeight="false" outlineLevel="0" collapsed="false">
      <c r="B6" s="11" t="n">
        <v>0.1935</v>
      </c>
      <c r="C6" s="11" t="n">
        <v>-0.0618</v>
      </c>
      <c r="D6" s="11" t="n">
        <v>-0.1047</v>
      </c>
      <c r="E6" s="11" t="n">
        <v>-0.089</v>
      </c>
      <c r="F6" s="11" t="n">
        <v>0.0014</v>
      </c>
      <c r="G6" s="11" t="n">
        <v>-0.0161</v>
      </c>
      <c r="H6" s="11" t="n">
        <v>0.223</v>
      </c>
      <c r="I6" s="11" t="n">
        <v>-0.0399</v>
      </c>
    </row>
    <row r="7" customFormat="false" ht="15" hidden="false" customHeight="false" outlineLevel="0" collapsed="false">
      <c r="B7" s="11" t="n">
        <v>0.0054</v>
      </c>
      <c r="C7" s="11" t="n">
        <v>0.0884</v>
      </c>
      <c r="D7" s="11" t="n">
        <v>-0.0108</v>
      </c>
      <c r="E7" s="11" t="n">
        <v>0.0556</v>
      </c>
      <c r="F7" s="11" t="n">
        <v>0.0395</v>
      </c>
      <c r="G7" s="11" t="n">
        <v>0.0837</v>
      </c>
      <c r="H7" s="11" t="n">
        <v>-0.1408</v>
      </c>
      <c r="I7" s="11" t="n">
        <v>0.0808</v>
      </c>
    </row>
    <row r="8" customFormat="false" ht="15" hidden="false" customHeight="false" outlineLevel="0" collapsed="false">
      <c r="B8" s="11" t="n">
        <v>-0.0138</v>
      </c>
      <c r="C8" s="11" t="n">
        <v>0.0187</v>
      </c>
      <c r="D8" s="11" t="n">
        <v>-0.0387</v>
      </c>
      <c r="E8" s="11" t="n">
        <v>0.1659</v>
      </c>
      <c r="F8" s="11" t="n">
        <v>-0.2047</v>
      </c>
      <c r="G8" s="11" t="n">
        <v>0.1399</v>
      </c>
      <c r="H8" s="11" t="n">
        <v>-0.0679</v>
      </c>
      <c r="I8" s="11" t="n">
        <v>0.1529</v>
      </c>
    </row>
    <row r="9" customFormat="false" ht="15" hidden="false" customHeight="false" outlineLevel="0" collapsed="false">
      <c r="B9" s="11" t="n">
        <v>0.1221</v>
      </c>
      <c r="C9" s="11" t="n">
        <v>0.1015</v>
      </c>
      <c r="D9" s="11" t="n">
        <v>0.0828</v>
      </c>
      <c r="E9" s="11" t="n">
        <v>0.2266</v>
      </c>
      <c r="F9" s="11" t="n">
        <v>-0.0595</v>
      </c>
      <c r="G9" s="11" t="n">
        <v>-0.0581</v>
      </c>
      <c r="H9" s="11" t="n">
        <v>-0.0656</v>
      </c>
      <c r="I9" s="11" t="n">
        <v>0.0925</v>
      </c>
    </row>
    <row r="10" customFormat="false" ht="15" hidden="false" customHeight="false" outlineLevel="0" collapsed="false">
      <c r="B10" s="11" t="n">
        <v>-0.1299</v>
      </c>
      <c r="C10" s="11" t="n">
        <v>0.1011</v>
      </c>
      <c r="D10" s="11" t="n">
        <v>-0.0288</v>
      </c>
      <c r="E10" s="11" t="n">
        <v>-0.1068</v>
      </c>
      <c r="F10" s="11" t="n">
        <v>-0.1078</v>
      </c>
      <c r="G10" s="11" t="n">
        <v>-0.0797</v>
      </c>
      <c r="H10" s="11" t="n">
        <v>-0.1486</v>
      </c>
      <c r="I10" s="11" t="n">
        <v>0.0514</v>
      </c>
    </row>
    <row r="11" customFormat="false" ht="15" hidden="false" customHeight="false" outlineLevel="0" collapsed="false">
      <c r="B11" s="11" t="n">
        <v>0.0852</v>
      </c>
      <c r="C11" s="11" t="n">
        <v>0.0959</v>
      </c>
      <c r="D11" s="11" t="n">
        <v>-0.0626</v>
      </c>
      <c r="E11" s="11" t="n">
        <v>0.0308</v>
      </c>
      <c r="F11" s="11" t="n">
        <v>0.0005</v>
      </c>
      <c r="G11" s="11" t="n">
        <v>0.0692</v>
      </c>
      <c r="H11" s="11" t="n">
        <v>0.0445</v>
      </c>
      <c r="I11" s="11" t="n">
        <v>0.009</v>
      </c>
    </row>
    <row r="13" customFormat="false" ht="15" hidden="false" customHeight="false" outlineLevel="0" collapsed="false">
      <c r="A13" s="2" t="s">
        <v>231</v>
      </c>
    </row>
    <row r="14" customFormat="false" ht="15" hidden="false" customHeight="false" outlineLevel="0" collapsed="false">
      <c r="B14" s="11" t="n">
        <v>-0.1858</v>
      </c>
      <c r="C14" s="11" t="n">
        <v>-0.0167</v>
      </c>
      <c r="D14" s="11" t="n">
        <v>0.0111</v>
      </c>
      <c r="E14" s="11" t="n">
        <v>-0.0695</v>
      </c>
      <c r="F14" s="11" t="n">
        <v>-0.0269</v>
      </c>
      <c r="G14" s="11" t="n">
        <v>-0.1299</v>
      </c>
      <c r="H14" s="11" t="n">
        <v>-0.0321</v>
      </c>
      <c r="I14" s="11" t="n">
        <v>0.0506</v>
      </c>
    </row>
    <row r="15" customFormat="false" ht="15" hidden="false" customHeight="false" outlineLevel="0" collapsed="false">
      <c r="B15" s="11" t="n">
        <v>0.2089</v>
      </c>
      <c r="C15" s="11" t="n">
        <v>-0.1013</v>
      </c>
      <c r="D15" s="11" t="n">
        <v>-0.0024</v>
      </c>
      <c r="E15" s="11" t="n">
        <v>-0.0961</v>
      </c>
      <c r="F15" s="11" t="n">
        <v>-0.0093</v>
      </c>
      <c r="G15" s="11" t="n">
        <v>-0.0224</v>
      </c>
      <c r="H15" s="11" t="n">
        <v>0.0833</v>
      </c>
      <c r="I15" s="11" t="n">
        <v>0.0974</v>
      </c>
    </row>
    <row r="16" customFormat="false" ht="15" hidden="false" customHeight="false" outlineLevel="0" collapsed="false">
      <c r="B16" s="11" t="n">
        <v>0.0163</v>
      </c>
      <c r="C16" s="11" t="n">
        <v>-0.0114</v>
      </c>
      <c r="D16" s="11" t="n">
        <v>0.1186</v>
      </c>
      <c r="E16" s="11" t="n">
        <v>0.018</v>
      </c>
      <c r="F16" s="11" t="n">
        <v>0.1516</v>
      </c>
      <c r="G16" s="11" t="n">
        <v>-0.1634</v>
      </c>
      <c r="H16" s="11" t="n">
        <v>0.1782</v>
      </c>
      <c r="I16" s="11" t="n">
        <v>-0.0618</v>
      </c>
    </row>
    <row r="17" customFormat="false" ht="15" hidden="false" customHeight="false" outlineLevel="0" collapsed="false">
      <c r="B17" s="11" t="n">
        <v>-0.1086</v>
      </c>
      <c r="C17" s="11" t="n">
        <v>-0.0045</v>
      </c>
      <c r="D17" s="11" t="n">
        <v>-0.1164</v>
      </c>
      <c r="E17" s="11" t="n">
        <v>0.0569</v>
      </c>
      <c r="F17" s="11" t="n">
        <v>-0.0463</v>
      </c>
      <c r="G17" s="11" t="n">
        <v>0.0287</v>
      </c>
      <c r="H17" s="11" t="n">
        <v>-0.0977</v>
      </c>
      <c r="I17" s="11" t="n">
        <v>-0.0222</v>
      </c>
    </row>
    <row r="18" customFormat="false" ht="15" hidden="false" customHeight="false" outlineLevel="0" collapsed="false">
      <c r="B18" s="11" t="n">
        <v>0.0097</v>
      </c>
      <c r="C18" s="11" t="n">
        <v>-0.0188</v>
      </c>
      <c r="D18" s="11" t="n">
        <v>0.1592</v>
      </c>
      <c r="E18" s="11" t="n">
        <v>0.0586</v>
      </c>
      <c r="F18" s="11" t="n">
        <v>0.0204</v>
      </c>
      <c r="G18" s="11" t="n">
        <v>-0.1857</v>
      </c>
      <c r="H18" s="11" t="n">
        <v>0.0378</v>
      </c>
      <c r="I18" s="11" t="n">
        <v>0.1236</v>
      </c>
    </row>
    <row r="19" customFormat="false" ht="15" hidden="false" customHeight="false" outlineLevel="0" collapsed="false">
      <c r="B19" s="11" t="n">
        <v>-0.069</v>
      </c>
      <c r="C19" s="11" t="n">
        <v>-0.0198</v>
      </c>
      <c r="D19" s="11" t="n">
        <v>-0.3026</v>
      </c>
      <c r="E19" s="11" t="n">
        <v>-0.1246</v>
      </c>
      <c r="F19" s="11" t="n">
        <v>-0.2084</v>
      </c>
      <c r="G19" s="11" t="n">
        <v>0.0104</v>
      </c>
      <c r="H19" s="11" t="n">
        <v>-0.015</v>
      </c>
      <c r="I19" s="11" t="n">
        <v>-0.0106</v>
      </c>
    </row>
    <row r="20" customFormat="false" ht="15" hidden="false" customHeight="false" outlineLevel="0" collapsed="false">
      <c r="B20" s="11" t="n">
        <v>-0.0437</v>
      </c>
      <c r="C20" s="11" t="n">
        <v>0.1019</v>
      </c>
      <c r="D20" s="11" t="n">
        <v>-0.1233</v>
      </c>
      <c r="E20" s="11" t="n">
        <v>-0.0074</v>
      </c>
      <c r="F20" s="11" t="n">
        <v>0.0596</v>
      </c>
      <c r="G20" s="11" t="n">
        <v>-0.0179</v>
      </c>
      <c r="H20" s="11" t="n">
        <v>-0.0091</v>
      </c>
      <c r="I20" s="11" t="n">
        <v>-0.0825</v>
      </c>
    </row>
    <row r="21" customFormat="false" ht="15" hidden="false" customHeight="false" outlineLevel="0" collapsed="false">
      <c r="B21" s="11" t="n">
        <v>-0.0335</v>
      </c>
      <c r="C21" s="11" t="n">
        <v>0.0718</v>
      </c>
      <c r="D21" s="11" t="n">
        <v>-0.2019</v>
      </c>
      <c r="E21" s="11" t="n">
        <v>-0.0158</v>
      </c>
      <c r="F21" s="11" t="n">
        <v>-0.0584</v>
      </c>
      <c r="G21" s="11" t="n">
        <v>-0.007</v>
      </c>
      <c r="H21" s="11" t="n">
        <v>0.1773</v>
      </c>
      <c r="I21" s="11" t="n">
        <v>-0.0447</v>
      </c>
    </row>
    <row r="23" customFormat="false" ht="15" hidden="false" customHeight="false" outlineLevel="0" collapsed="false">
      <c r="A23" s="2" t="s">
        <v>232</v>
      </c>
    </row>
    <row r="24" customFormat="false" ht="15" hidden="false" customHeight="false" outlineLevel="0" collapsed="false">
      <c r="B24" s="11" t="n">
        <v>0.1489</v>
      </c>
      <c r="C24" s="11" t="n">
        <v>0.11</v>
      </c>
      <c r="D24" s="11" t="n">
        <v>0.003</v>
      </c>
      <c r="E24" s="11" t="n">
        <v>0.0087</v>
      </c>
      <c r="F24" s="11" t="n">
        <v>0.0181</v>
      </c>
      <c r="G24" s="11" t="n">
        <v>-0.0825</v>
      </c>
      <c r="H24" s="11" t="n">
        <v>0.0627</v>
      </c>
      <c r="I24" s="11" t="n">
        <v>-0.0613</v>
      </c>
    </row>
    <row r="25" customFormat="false" ht="15" hidden="false" customHeight="false" outlineLevel="0" collapsed="false">
      <c r="B25" s="11" t="n">
        <v>0.0036</v>
      </c>
      <c r="C25" s="11" t="n">
        <v>-0.2196</v>
      </c>
      <c r="D25" s="11" t="n">
        <v>-0.0863</v>
      </c>
      <c r="E25" s="11" t="n">
        <v>0.0535</v>
      </c>
      <c r="F25" s="11" t="n">
        <v>-0.1123</v>
      </c>
      <c r="G25" s="11" t="n">
        <v>0.0334</v>
      </c>
      <c r="H25" s="11" t="n">
        <v>-0.0507</v>
      </c>
      <c r="I25" s="11" t="n">
        <v>0.099</v>
      </c>
    </row>
    <row r="26" customFormat="false" ht="15" hidden="false" customHeight="false" outlineLevel="0" collapsed="false">
      <c r="B26" s="11" t="n">
        <v>0.1258</v>
      </c>
      <c r="C26" s="11" t="n">
        <v>0.0178</v>
      </c>
      <c r="D26" s="11" t="n">
        <v>-0.0015</v>
      </c>
      <c r="E26" s="11" t="n">
        <v>0.004</v>
      </c>
      <c r="F26" s="11" t="n">
        <v>-0.0021</v>
      </c>
      <c r="G26" s="11" t="n">
        <v>0.1192</v>
      </c>
      <c r="H26" s="11" t="n">
        <v>0.2505</v>
      </c>
      <c r="I26" s="11" t="n">
        <v>-0.1333</v>
      </c>
    </row>
    <row r="27" customFormat="false" ht="15" hidden="false" customHeight="false" outlineLevel="0" collapsed="false">
      <c r="B27" s="11" t="n">
        <v>-0.1028</v>
      </c>
      <c r="C27" s="11" t="n">
        <v>0.1363</v>
      </c>
      <c r="D27" s="11" t="n">
        <v>-0.1142</v>
      </c>
      <c r="E27" s="11" t="n">
        <v>-0.1372</v>
      </c>
      <c r="F27" s="11" t="n">
        <v>0.2115</v>
      </c>
      <c r="G27" s="11" t="n">
        <v>-0.0274</v>
      </c>
      <c r="H27" s="11" t="n">
        <v>-0.025</v>
      </c>
      <c r="I27" s="11" t="n">
        <v>-0.0509</v>
      </c>
    </row>
    <row r="28" customFormat="false" ht="15" hidden="false" customHeight="false" outlineLevel="0" collapsed="false">
      <c r="B28" s="11" t="n">
        <v>0.0581</v>
      </c>
      <c r="C28" s="11" t="n">
        <v>-0.1133</v>
      </c>
      <c r="D28" s="11" t="n">
        <v>0.1774</v>
      </c>
      <c r="E28" s="11" t="n">
        <v>0.0753</v>
      </c>
      <c r="F28" s="11" t="n">
        <v>-0.0052</v>
      </c>
      <c r="G28" s="11" t="n">
        <v>-0.0552</v>
      </c>
      <c r="H28" s="11" t="n">
        <v>0.0108</v>
      </c>
      <c r="I28" s="11" t="n">
        <v>0.1044</v>
      </c>
    </row>
    <row r="29" customFormat="false" ht="15" hidden="false" customHeight="false" outlineLevel="0" collapsed="false">
      <c r="B29" s="11" t="n">
        <v>0.2617</v>
      </c>
      <c r="C29" s="11" t="n">
        <v>0.1509</v>
      </c>
      <c r="D29" s="11" t="n">
        <v>0.1013</v>
      </c>
      <c r="E29" s="11" t="n">
        <v>0.0043</v>
      </c>
      <c r="F29" s="11" t="n">
        <v>0.1233</v>
      </c>
      <c r="G29" s="11" t="n">
        <v>-0.0346</v>
      </c>
      <c r="H29" s="11" t="n">
        <v>0.0332</v>
      </c>
      <c r="I29" s="11" t="n">
        <v>0.1171</v>
      </c>
    </row>
    <row r="30" customFormat="false" ht="15" hidden="false" customHeight="false" outlineLevel="0" collapsed="false">
      <c r="B30" s="11" t="n">
        <v>0.0607</v>
      </c>
      <c r="C30" s="11" t="n">
        <v>-0.0665</v>
      </c>
      <c r="D30" s="11" t="n">
        <v>-0.1533</v>
      </c>
      <c r="E30" s="11" t="n">
        <v>0.0501</v>
      </c>
      <c r="F30" s="11" t="n">
        <v>0.0135</v>
      </c>
      <c r="G30" s="11" t="n">
        <v>0.093</v>
      </c>
      <c r="H30" s="11" t="n">
        <v>0.0058</v>
      </c>
      <c r="I30" s="11" t="n">
        <v>-0.038</v>
      </c>
    </row>
    <row r="31" customFormat="false" ht="15" hidden="false" customHeight="false" outlineLevel="0" collapsed="false">
      <c r="B31" s="11" t="n">
        <v>0.1054</v>
      </c>
      <c r="C31" s="11" t="n">
        <v>0.0996</v>
      </c>
      <c r="D31" s="11" t="n">
        <v>-0.2109</v>
      </c>
      <c r="E31" s="11" t="n">
        <v>-0.1519</v>
      </c>
      <c r="F31" s="11" t="n">
        <v>0.013</v>
      </c>
      <c r="G31" s="11" t="n">
        <v>-0.0065</v>
      </c>
      <c r="H31" s="11" t="n">
        <v>-0.0187</v>
      </c>
      <c r="I31" s="11" t="n">
        <v>0.0824</v>
      </c>
    </row>
    <row r="33" customFormat="false" ht="15" hidden="false" customHeight="false" outlineLevel="0" collapsed="false">
      <c r="A33" s="2" t="s">
        <v>233</v>
      </c>
    </row>
    <row r="34" customFormat="false" ht="15" hidden="false" customHeight="false" outlineLevel="0" collapsed="false">
      <c r="B34" s="11" t="n">
        <v>0.2015</v>
      </c>
      <c r="C34" s="11" t="n">
        <v>-0.1031</v>
      </c>
      <c r="D34" s="11" t="n">
        <v>-0.0068</v>
      </c>
      <c r="E34" s="11" t="n">
        <v>-0.0025</v>
      </c>
      <c r="F34" s="11" t="n">
        <v>0.0205</v>
      </c>
      <c r="G34" s="11" t="n">
        <v>-0.1224</v>
      </c>
      <c r="H34" s="11" t="n">
        <v>0.0467</v>
      </c>
      <c r="I34" s="11" t="n">
        <v>0.0037</v>
      </c>
    </row>
    <row r="35" customFormat="false" ht="15" hidden="false" customHeight="false" outlineLevel="0" collapsed="false">
      <c r="B35" s="11" t="n">
        <v>0.2039</v>
      </c>
      <c r="C35" s="11" t="n">
        <v>0.0385</v>
      </c>
      <c r="D35" s="11" t="n">
        <v>-0.0701</v>
      </c>
      <c r="E35" s="11" t="n">
        <v>-0.1497</v>
      </c>
      <c r="F35" s="11" t="n">
        <v>-0.0098</v>
      </c>
      <c r="G35" s="11" t="n">
        <v>-0.075</v>
      </c>
      <c r="H35" s="11" t="n">
        <v>-0.0424</v>
      </c>
      <c r="I35" s="11" t="n">
        <v>0.0346</v>
      </c>
    </row>
    <row r="36" customFormat="false" ht="15" hidden="false" customHeight="false" outlineLevel="0" collapsed="false">
      <c r="B36" s="11" t="n">
        <v>0.0235</v>
      </c>
      <c r="C36" s="11" t="n">
        <v>0.0194</v>
      </c>
      <c r="D36" s="11" t="n">
        <v>0.1392</v>
      </c>
      <c r="E36" s="11" t="n">
        <v>0.0408</v>
      </c>
      <c r="F36" s="11" t="n">
        <v>0.2713</v>
      </c>
      <c r="G36" s="11" t="n">
        <v>0.0161</v>
      </c>
      <c r="H36" s="11" t="n">
        <v>-0.0407</v>
      </c>
      <c r="I36" s="11" t="n">
        <v>-0.1497</v>
      </c>
    </row>
    <row r="37" customFormat="false" ht="15" hidden="false" customHeight="false" outlineLevel="0" collapsed="false">
      <c r="B37" s="11" t="n">
        <v>-0.1314</v>
      </c>
      <c r="C37" s="11" t="n">
        <v>0.0907</v>
      </c>
      <c r="D37" s="11" t="n">
        <v>0.0649</v>
      </c>
      <c r="E37" s="11" t="n">
        <v>-0.009</v>
      </c>
      <c r="F37" s="11" t="n">
        <v>-0.0224</v>
      </c>
      <c r="G37" s="11" t="n">
        <v>-0.0888</v>
      </c>
      <c r="H37" s="11" t="n">
        <v>-0.0166</v>
      </c>
      <c r="I37" s="11" t="n">
        <v>0.0123</v>
      </c>
    </row>
    <row r="38" customFormat="false" ht="15" hidden="false" customHeight="false" outlineLevel="0" collapsed="false">
      <c r="B38" s="11" t="n">
        <v>-0.2018</v>
      </c>
      <c r="C38" s="11" t="n">
        <v>0.0725</v>
      </c>
      <c r="D38" s="11" t="n">
        <v>-0.2027</v>
      </c>
      <c r="E38" s="11" t="n">
        <v>0.0337</v>
      </c>
      <c r="F38" s="11" t="n">
        <v>-0.0045</v>
      </c>
      <c r="G38" s="11" t="n">
        <v>0.0292</v>
      </c>
      <c r="H38" s="11" t="n">
        <v>-0.0648</v>
      </c>
      <c r="I38" s="11" t="n">
        <v>0.1693</v>
      </c>
    </row>
    <row r="39" customFormat="false" ht="15" hidden="false" customHeight="false" outlineLevel="0" collapsed="false">
      <c r="B39" s="11" t="n">
        <v>0.0718</v>
      </c>
      <c r="C39" s="11" t="n">
        <v>0.0635</v>
      </c>
      <c r="D39" s="11" t="n">
        <v>-0.0179</v>
      </c>
      <c r="E39" s="11" t="n">
        <v>-0.0075</v>
      </c>
      <c r="F39" s="11" t="n">
        <v>0.0886</v>
      </c>
      <c r="G39" s="11" t="n">
        <v>0.1302</v>
      </c>
      <c r="H39" s="11" t="n">
        <v>0.14</v>
      </c>
      <c r="I39" s="11" t="n">
        <v>-0.0046</v>
      </c>
    </row>
    <row r="40" customFormat="false" ht="15" hidden="false" customHeight="false" outlineLevel="0" collapsed="false">
      <c r="B40" s="11" t="n">
        <v>0.0057</v>
      </c>
      <c r="C40" s="11" t="n">
        <v>0.0331</v>
      </c>
      <c r="D40" s="11" t="n">
        <v>-0.0262</v>
      </c>
      <c r="E40" s="11" t="n">
        <v>-0.0709</v>
      </c>
      <c r="F40" s="11" t="n">
        <v>0.0166</v>
      </c>
      <c r="G40" s="11" t="n">
        <v>0.0473</v>
      </c>
      <c r="H40" s="11" t="n">
        <v>0.0524</v>
      </c>
      <c r="I40" s="11" t="n">
        <v>-0.0076</v>
      </c>
    </row>
    <row r="41" customFormat="false" ht="15" hidden="false" customHeight="false" outlineLevel="0" collapsed="false">
      <c r="B41" s="11" t="n">
        <v>-0.0658</v>
      </c>
      <c r="C41" s="11" t="n">
        <v>0.0499</v>
      </c>
      <c r="D41" s="11" t="n">
        <v>0.0401</v>
      </c>
      <c r="E41" s="11" t="n">
        <v>-0.0919</v>
      </c>
      <c r="F41" s="11" t="n">
        <v>0.0949</v>
      </c>
      <c r="G41" s="11" t="n">
        <v>0.076</v>
      </c>
      <c r="H41" s="11" t="n">
        <v>-0.0042</v>
      </c>
      <c r="I41" s="11" t="n">
        <v>-0.1254</v>
      </c>
    </row>
    <row r="44" customFormat="false" ht="15" hidden="false" customHeight="false" outlineLevel="0" collapsed="false">
      <c r="A44" s="1" t="s">
        <v>234</v>
      </c>
    </row>
    <row r="46" customFormat="false" ht="15" hidden="false" customHeight="false" outlineLevel="0" collapsed="false">
      <c r="A46" s="2" t="s">
        <v>235</v>
      </c>
    </row>
    <row r="47" customFormat="false" ht="15" hidden="false" customHeight="false" outlineLevel="0" collapsed="false">
      <c r="A47" s="0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2" t="s">
        <v>241</v>
      </c>
      <c r="G47" s="2" t="s">
        <v>242</v>
      </c>
      <c r="H47" s="2" t="s">
        <v>243</v>
      </c>
      <c r="I47" s="2" t="s">
        <v>244</v>
      </c>
    </row>
    <row r="48" customFormat="false" ht="15" hidden="false" customHeight="false" outlineLevel="0" collapsed="false">
      <c r="A48" s="0" t="n">
        <v>0</v>
      </c>
      <c r="B48" s="9" t="n">
        <f aca="false">Embeddings!B$90*$B$4+Embeddings!C$90*$B$5+Embeddings!D$90*$B$6+Embeddings!E$90*$B$7+Embeddings!F$90*$B$8+Embeddings!G$90*$B$9+Embeddings!H$90*$B$10+Embeddings!I$90*$B$11</f>
        <v>0.491947619344249</v>
      </c>
      <c r="C48" s="9" t="n">
        <f aca="false">Embeddings!B$90*$C$4+Embeddings!C$90*$C$5+Embeddings!D$90*$C$6+Embeddings!E$90*$C$7+Embeddings!F$90*$C$8+Embeddings!G$90*$C$9+Embeddings!H$90*$C$10+Embeddings!I$90*$C$11</f>
        <v>-0.0183458179658165</v>
      </c>
      <c r="D48" s="9" t="n">
        <f aca="false">Embeddings!B$90*$D$4+Embeddings!C$90*$D$5+Embeddings!D$90*$D$6+Embeddings!E$90*$D$7+Embeddings!F$90*$D$8+Embeddings!G$90*$D$9+Embeddings!H$90*$D$10+Embeddings!I$90*$D$11</f>
        <v>-0.0432318506735566</v>
      </c>
      <c r="E48" s="9" t="n">
        <f aca="false">Embeddings!B$90*$E$4+Embeddings!C$90*$E$5+Embeddings!D$90*$E$6+Embeddings!E$90*$E$7+Embeddings!F$90*$E$8+Embeddings!G$90*$E$9+Embeddings!H$90*$E$10+Embeddings!I$90*$E$11</f>
        <v>0.448710422418322</v>
      </c>
      <c r="F48" s="9" t="n">
        <f aca="false">Embeddings!B$90*$F$4+Embeddings!C$90*$F$5+Embeddings!D$90*$F$6+Embeddings!E$90*$F$7+Embeddings!F$90*$F$8+Embeddings!G$90*$F$9+Embeddings!H$90*$F$10+Embeddings!I$90*$F$11</f>
        <v>-0.196707751747647</v>
      </c>
      <c r="G48" s="9" t="n">
        <f aca="false">Embeddings!B$90*$G$4+Embeddings!C$90*$G$5+Embeddings!D$90*$G$6+Embeddings!E$90*$G$7+Embeddings!F$90*$G$8+Embeddings!G$90*$G$9+Embeddings!H$90*$G$10+Embeddings!I$90*$G$11</f>
        <v>0.315330850923926</v>
      </c>
      <c r="H48" s="9" t="n">
        <f aca="false">Embeddings!B$90*$H$4+Embeddings!C$90*$H$5+Embeddings!D$90*$H$6+Embeddings!E$90*$H$7+Embeddings!F$90*$H$8+Embeddings!G$90*$H$9+Embeddings!H$90*$H$10+Embeddings!I$90*$H$11</f>
        <v>0.318715349157927</v>
      </c>
      <c r="I48" s="9" t="n">
        <f aca="false">Embeddings!B$90*$I$4+Embeddings!C$90*$I$5+Embeddings!D$90*$I$6+Embeddings!E$90*$I$7+Embeddings!F$90*$I$8+Embeddings!G$90*$I$9+Embeddings!H$90*$I$10+Embeddings!I$90*$I$11</f>
        <v>-0.237134014457458</v>
      </c>
    </row>
    <row r="49" customFormat="false" ht="15" hidden="false" customHeight="false" outlineLevel="0" collapsed="false">
      <c r="A49" s="0" t="n">
        <v>1</v>
      </c>
      <c r="B49" s="9" t="n">
        <f aca="false">Embeddings!B$91*$B$4+Embeddings!C$91*$B$5+Embeddings!D$91*$B$6+Embeddings!E$91*$B$7+Embeddings!F$91*$B$8+Embeddings!G$91*$B$9+Embeddings!H$91*$B$10+Embeddings!I$91*$B$11</f>
        <v>0.0894599867933645</v>
      </c>
      <c r="C49" s="9" t="n">
        <f aca="false">Embeddings!B$91*$C$4+Embeddings!C$91*$C$5+Embeddings!D$91*$C$6+Embeddings!E$91*$C$7+Embeddings!F$91*$C$8+Embeddings!G$91*$C$9+Embeddings!H$91*$C$10+Embeddings!I$91*$C$11</f>
        <v>-0.117035820014912</v>
      </c>
      <c r="D49" s="9" t="n">
        <f aca="false">Embeddings!B$91*$D$4+Embeddings!C$91*$D$5+Embeddings!D$91*$D$6+Embeddings!E$91*$D$7+Embeddings!F$91*$D$8+Embeddings!G$91*$D$9+Embeddings!H$91*$D$10+Embeddings!I$91*$D$11</f>
        <v>0.151927849861903</v>
      </c>
      <c r="E49" s="9" t="n">
        <f aca="false">Embeddings!B$91*$E$4+Embeddings!C$91*$E$5+Embeddings!D$91*$E$6+Embeddings!E$91*$E$7+Embeddings!F$91*$E$8+Embeddings!G$91*$E$9+Embeddings!H$91*$E$10+Embeddings!I$91*$E$11</f>
        <v>0.546483929348062</v>
      </c>
      <c r="F49" s="9" t="n">
        <f aca="false">Embeddings!B$91*$F$4+Embeddings!C$91*$F$5+Embeddings!D$91*$F$6+Embeddings!E$91*$F$7+Embeddings!F$91*$F$8+Embeddings!G$91*$F$9+Embeddings!H$91*$F$10+Embeddings!I$91*$F$11</f>
        <v>0.0271048523024385</v>
      </c>
      <c r="G49" s="9" t="n">
        <f aca="false">Embeddings!B$91*$G$4+Embeddings!C$91*$G$5+Embeddings!D$91*$G$6+Embeddings!E$91*$G$7+Embeddings!F$91*$G$8+Embeddings!G$91*$G$9+Embeddings!H$91*$G$10+Embeddings!I$91*$G$11</f>
        <v>0.263647351965876</v>
      </c>
      <c r="H49" s="9" t="n">
        <f aca="false">Embeddings!B$91*$H$4+Embeddings!C$91*$H$5+Embeddings!D$91*$H$6+Embeddings!E$91*$H$7+Embeddings!F$91*$H$8+Embeddings!G$91*$H$9+Embeddings!H$91*$H$10+Embeddings!I$91*$H$11</f>
        <v>-0.180262691444509</v>
      </c>
      <c r="I49" s="9" t="n">
        <f aca="false">Embeddings!B$91*$I$4+Embeddings!C$91*$I$5+Embeddings!D$91*$I$6+Embeddings!E$91*$I$7+Embeddings!F$91*$I$8+Embeddings!G$91*$I$9+Embeddings!H$91*$I$10+Embeddings!I$91*$I$11</f>
        <v>0.357628367090507</v>
      </c>
    </row>
    <row r="50" customFormat="false" ht="15" hidden="false" customHeight="false" outlineLevel="0" collapsed="false">
      <c r="A50" s="0" t="n">
        <v>2</v>
      </c>
      <c r="B50" s="9" t="n">
        <f aca="false">Embeddings!B$92*$B$4+Embeddings!C$92*$B$5+Embeddings!D$92*$B$6+Embeddings!E$92*$B$7+Embeddings!F$92*$B$8+Embeddings!G$92*$B$9+Embeddings!H$92*$B$10+Embeddings!I$92*$B$11</f>
        <v>0.420650326479804</v>
      </c>
      <c r="C50" s="9" t="n">
        <f aca="false">Embeddings!B$92*$C$4+Embeddings!C$92*$C$5+Embeddings!D$92*$C$6+Embeddings!E$92*$C$7+Embeddings!F$92*$C$8+Embeddings!G$92*$C$9+Embeddings!H$92*$C$10+Embeddings!I$92*$C$11</f>
        <v>-0.401158094656354</v>
      </c>
      <c r="D50" s="9" t="n">
        <f aca="false">Embeddings!B$92*$D$4+Embeddings!C$92*$D$5+Embeddings!D$92*$D$6+Embeddings!E$92*$D$7+Embeddings!F$92*$D$8+Embeddings!G$92*$D$9+Embeddings!H$92*$D$10+Embeddings!I$92*$D$11</f>
        <v>-0.169985237241257</v>
      </c>
      <c r="E50" s="9" t="n">
        <f aca="false">Embeddings!B$92*$E$4+Embeddings!C$92*$E$5+Embeddings!D$92*$E$6+Embeddings!E$92*$E$7+Embeddings!F$92*$E$8+Embeddings!G$92*$E$9+Embeddings!H$92*$E$10+Embeddings!I$92*$E$11</f>
        <v>-0.07368465760992</v>
      </c>
      <c r="F50" s="9" t="n">
        <f aca="false">Embeddings!B$92*$F$4+Embeddings!C$92*$F$5+Embeddings!D$92*$F$6+Embeddings!E$92*$F$7+Embeddings!F$92*$F$8+Embeddings!G$92*$F$9+Embeddings!H$92*$F$10+Embeddings!I$92*$F$11</f>
        <v>0.420311304460958</v>
      </c>
      <c r="G50" s="9" t="n">
        <f aca="false">Embeddings!B$92*$G$4+Embeddings!C$92*$G$5+Embeddings!D$92*$G$6+Embeddings!E$92*$G$7+Embeddings!F$92*$G$8+Embeddings!G$92*$G$9+Embeddings!H$92*$G$10+Embeddings!I$92*$G$11</f>
        <v>0.213634311562277</v>
      </c>
      <c r="H50" s="9" t="n">
        <f aca="false">Embeddings!B$92*$H$4+Embeddings!C$92*$H$5+Embeddings!D$92*$H$6+Embeddings!E$92*$H$7+Embeddings!F$92*$H$8+Embeddings!G$92*$H$9+Embeddings!H$92*$H$10+Embeddings!I$92*$H$11</f>
        <v>0.616006677742317</v>
      </c>
      <c r="I50" s="9" t="n">
        <f aca="false">Embeddings!B$92*$I$4+Embeddings!C$92*$I$5+Embeddings!D$92*$I$6+Embeddings!E$92*$I$7+Embeddings!F$92*$I$8+Embeddings!G$92*$I$9+Embeddings!H$92*$I$10+Embeddings!I$92*$I$11</f>
        <v>0.0973050817227575</v>
      </c>
    </row>
    <row r="51" customFormat="false" ht="15" hidden="false" customHeight="false" outlineLevel="0" collapsed="false">
      <c r="A51" s="0" t="n">
        <v>3</v>
      </c>
      <c r="B51" s="9" t="n">
        <f aca="false">Embeddings!B$93*$B$4+Embeddings!C$93*$B$5+Embeddings!D$93*$B$6+Embeddings!E$93*$B$7+Embeddings!F$93*$B$8+Embeddings!G$93*$B$9+Embeddings!H$93*$B$10+Embeddings!I$93*$B$11</f>
        <v>0.288033888590067</v>
      </c>
      <c r="C51" s="9" t="n">
        <f aca="false">Embeddings!B$93*$C$4+Embeddings!C$93*$C$5+Embeddings!D$93*$C$6+Embeddings!E$93*$C$7+Embeddings!F$93*$C$8+Embeddings!G$93*$C$9+Embeddings!H$93*$C$10+Embeddings!I$93*$C$11</f>
        <v>-0.312256070614613</v>
      </c>
      <c r="D51" s="9" t="n">
        <f aca="false">Embeddings!B$93*$D$4+Embeddings!C$93*$D$5+Embeddings!D$93*$D$6+Embeddings!E$93*$D$7+Embeddings!F$93*$D$8+Embeddings!G$93*$D$9+Embeddings!H$93*$D$10+Embeddings!I$93*$D$11</f>
        <v>-0.0759312063244566</v>
      </c>
      <c r="E51" s="9" t="n">
        <f aca="false">Embeddings!B$93*$E$4+Embeddings!C$93*$E$5+Embeddings!D$93*$E$6+Embeddings!E$93*$E$7+Embeddings!F$93*$E$8+Embeddings!G$93*$E$9+Embeddings!H$93*$E$10+Embeddings!I$93*$E$11</f>
        <v>-0.19775049796228</v>
      </c>
      <c r="F51" s="9" t="n">
        <f aca="false">Embeddings!B$93*$F$4+Embeddings!C$93*$F$5+Embeddings!D$93*$F$6+Embeddings!E$93*$F$7+Embeddings!F$93*$F$8+Embeddings!G$93*$F$9+Embeddings!H$93*$F$10+Embeddings!I$93*$F$11</f>
        <v>-0.336531964104279</v>
      </c>
      <c r="G51" s="9" t="n">
        <f aca="false">Embeddings!B$93*$G$4+Embeddings!C$93*$G$5+Embeddings!D$93*$G$6+Embeddings!E$93*$G$7+Embeddings!F$93*$G$8+Embeddings!G$93*$G$9+Embeddings!H$93*$G$10+Embeddings!I$93*$G$11</f>
        <v>-0.389214690484106</v>
      </c>
      <c r="H51" s="9" t="n">
        <f aca="false">Embeddings!B$93*$H$4+Embeddings!C$93*$H$5+Embeddings!D$93*$H$6+Embeddings!E$93*$H$7+Embeddings!F$93*$H$8+Embeddings!G$93*$H$9+Embeddings!H$93*$H$10+Embeddings!I$93*$H$11</f>
        <v>0.409407961437098</v>
      </c>
      <c r="I51" s="9" t="n">
        <f aca="false">Embeddings!B$93*$I$4+Embeddings!C$93*$I$5+Embeddings!D$93*$I$6+Embeddings!E$93*$I$7+Embeddings!F$93*$I$8+Embeddings!G$93*$I$9+Embeddings!H$93*$I$10+Embeddings!I$93*$I$11</f>
        <v>-0.304839361653863</v>
      </c>
    </row>
    <row r="52" customFormat="false" ht="15" hidden="false" customHeight="false" outlineLevel="0" collapsed="false">
      <c r="A52" s="0" t="n">
        <v>4</v>
      </c>
      <c r="B52" s="9" t="n">
        <f aca="false">Embeddings!B$94*$B$4+Embeddings!C$94*$B$5+Embeddings!D$94*$B$6+Embeddings!E$94*$B$7+Embeddings!F$94*$B$8+Embeddings!G$94*$B$9+Embeddings!H$94*$B$10+Embeddings!I$94*$B$11</f>
        <v>-0.406485305478</v>
      </c>
      <c r="C52" s="9" t="n">
        <f aca="false">Embeddings!B$94*$C$4+Embeddings!C$94*$C$5+Embeddings!D$94*$C$6+Embeddings!E$94*$C$7+Embeddings!F$94*$C$8+Embeddings!G$94*$C$9+Embeddings!H$94*$C$10+Embeddings!I$94*$C$11</f>
        <v>-0.110232113558945</v>
      </c>
      <c r="D52" s="9" t="n">
        <f aca="false">Embeddings!B$94*$D$4+Embeddings!C$94*$D$5+Embeddings!D$94*$D$6+Embeddings!E$94*$D$7+Embeddings!F$94*$D$8+Embeddings!G$94*$D$9+Embeddings!H$94*$D$10+Embeddings!I$94*$D$11</f>
        <v>0.0656201265858669</v>
      </c>
      <c r="E52" s="9" t="n">
        <f aca="false">Embeddings!B$94*$E$4+Embeddings!C$94*$E$5+Embeddings!D$94*$E$6+Embeddings!E$94*$E$7+Embeddings!F$94*$E$8+Embeddings!G$94*$E$9+Embeddings!H$94*$E$10+Embeddings!I$94*$E$11</f>
        <v>0.223316042469358</v>
      </c>
      <c r="F52" s="9" t="n">
        <f aca="false">Embeddings!B$94*$F$4+Embeddings!C$94*$F$5+Embeddings!D$94*$F$6+Embeddings!E$94*$F$7+Embeddings!F$94*$F$8+Embeddings!G$94*$F$9+Embeddings!H$94*$F$10+Embeddings!I$94*$F$11</f>
        <v>-0.493053105382923</v>
      </c>
      <c r="G52" s="9" t="n">
        <f aca="false">Embeddings!B$94*$G$4+Embeddings!C$94*$G$5+Embeddings!D$94*$G$6+Embeddings!E$94*$G$7+Embeddings!F$94*$G$8+Embeddings!G$94*$G$9+Embeddings!H$94*$G$10+Embeddings!I$94*$G$11</f>
        <v>0.0588157977606586</v>
      </c>
      <c r="H52" s="9" t="n">
        <f aca="false">Embeddings!B$94*$H$4+Embeddings!C$94*$H$5+Embeddings!D$94*$H$6+Embeddings!E$94*$H$7+Embeddings!F$94*$H$8+Embeddings!G$94*$H$9+Embeddings!H$94*$H$10+Embeddings!I$94*$H$11</f>
        <v>-0.397941228868513</v>
      </c>
      <c r="I52" s="9" t="n">
        <f aca="false">Embeddings!B$94*$I$4+Embeddings!C$94*$I$5+Embeddings!D$94*$I$6+Embeddings!E$94*$I$7+Embeddings!F$94*$I$8+Embeddings!G$94*$I$9+Embeddings!H$94*$I$10+Embeddings!I$94*$I$11</f>
        <v>0.363299476731596</v>
      </c>
    </row>
    <row r="53" customFormat="false" ht="15" hidden="false" customHeight="false" outlineLevel="0" collapsed="false">
      <c r="A53" s="0" t="n">
        <v>5</v>
      </c>
      <c r="B53" s="9" t="n">
        <f aca="false">Embeddings!B$95*$B$4+Embeddings!C$95*$B$5+Embeddings!D$95*$B$6+Embeddings!E$95*$B$7+Embeddings!F$95*$B$8+Embeddings!G$95*$B$9+Embeddings!H$95*$B$10+Embeddings!I$95*$B$11</f>
        <v>-0.128890781417387</v>
      </c>
      <c r="C53" s="9" t="n">
        <f aca="false">Embeddings!B$95*$C$4+Embeddings!C$95*$C$5+Embeddings!D$95*$C$6+Embeddings!E$95*$C$7+Embeddings!F$95*$C$8+Embeddings!G$95*$C$9+Embeddings!H$95*$C$10+Embeddings!I$95*$C$11</f>
        <v>-0.205240744015907</v>
      </c>
      <c r="D53" s="9" t="n">
        <f aca="false">Embeddings!B$95*$D$4+Embeddings!C$95*$D$5+Embeddings!D$95*$D$6+Embeddings!E$95*$D$7+Embeddings!F$95*$D$8+Embeddings!G$95*$D$9+Embeddings!H$95*$D$10+Embeddings!I$95*$D$11</f>
        <v>-0.37115752480636</v>
      </c>
      <c r="E53" s="9" t="n">
        <f aca="false">Embeddings!B$95*$E$4+Embeddings!C$95*$E$5+Embeddings!D$95*$E$6+Embeddings!E$95*$E$7+Embeddings!F$95*$E$8+Embeddings!G$95*$E$9+Embeddings!H$95*$E$10+Embeddings!I$95*$E$11</f>
        <v>-0.539272764938413</v>
      </c>
      <c r="F53" s="9" t="n">
        <f aca="false">Embeddings!B$95*$F$4+Embeddings!C$95*$F$5+Embeddings!D$95*$F$6+Embeddings!E$95*$F$7+Embeddings!F$95*$F$8+Embeddings!G$95*$F$9+Embeddings!H$95*$F$10+Embeddings!I$95*$F$11</f>
        <v>-0.090117365153897</v>
      </c>
      <c r="G53" s="9" t="n">
        <f aca="false">Embeddings!B$95*$G$4+Embeddings!C$95*$G$5+Embeddings!D$95*$G$6+Embeddings!E$95*$G$7+Embeddings!F$95*$G$8+Embeddings!G$95*$G$9+Embeddings!H$95*$G$10+Embeddings!I$95*$G$11</f>
        <v>0.218608905112014</v>
      </c>
      <c r="H53" s="9" t="n">
        <f aca="false">Embeddings!B$95*$H$4+Embeddings!C$95*$H$5+Embeddings!D$95*$H$6+Embeddings!E$95*$H$7+Embeddings!F$95*$H$8+Embeddings!G$95*$H$9+Embeddings!H$95*$H$10+Embeddings!I$95*$H$11</f>
        <v>0.32647219290238</v>
      </c>
      <c r="I53" s="9" t="n">
        <f aca="false">Embeddings!B$95*$I$4+Embeddings!C$95*$I$5+Embeddings!D$95*$I$6+Embeddings!E$95*$I$7+Embeddings!F$95*$I$8+Embeddings!G$95*$I$9+Embeddings!H$95*$I$10+Embeddings!I$95*$I$11</f>
        <v>-0.145679934393038</v>
      </c>
    </row>
    <row r="54" customFormat="false" ht="15" hidden="false" customHeight="false" outlineLevel="0" collapsed="false">
      <c r="A54" s="0" t="n">
        <v>6</v>
      </c>
      <c r="B54" s="9" t="n">
        <f aca="false">Embeddings!B$96*$B$4+Embeddings!C$96*$B$5+Embeddings!D$96*$B$6+Embeddings!E$96*$B$7+Embeddings!F$96*$B$8+Embeddings!G$96*$B$9+Embeddings!H$96*$B$10+Embeddings!I$96*$B$11</f>
        <v>0.244158885832098</v>
      </c>
      <c r="C54" s="9" t="n">
        <f aca="false">Embeddings!B$96*$C$4+Embeddings!C$96*$C$5+Embeddings!D$96*$C$6+Embeddings!E$96*$C$7+Embeddings!F$96*$C$8+Embeddings!G$96*$C$9+Embeddings!H$96*$C$10+Embeddings!I$96*$C$11</f>
        <v>0.019475576755903</v>
      </c>
      <c r="D54" s="9" t="n">
        <f aca="false">Embeddings!B$96*$D$4+Embeddings!C$96*$D$5+Embeddings!D$96*$D$6+Embeddings!E$96*$D$7+Embeddings!F$96*$D$8+Embeddings!G$96*$D$9+Embeddings!H$96*$D$10+Embeddings!I$96*$D$11</f>
        <v>0.133125682051338</v>
      </c>
      <c r="E54" s="9" t="n">
        <f aca="false">Embeddings!B$96*$E$4+Embeddings!C$96*$E$5+Embeddings!D$96*$E$6+Embeddings!E$96*$E$7+Embeddings!F$96*$E$8+Embeddings!G$96*$E$9+Embeddings!H$96*$E$10+Embeddings!I$96*$E$11</f>
        <v>0.624998833076317</v>
      </c>
      <c r="F54" s="9" t="n">
        <f aca="false">Embeddings!B$96*$F$4+Embeddings!C$96*$F$5+Embeddings!D$96*$F$6+Embeddings!E$96*$F$7+Embeddings!F$96*$F$8+Embeddings!G$96*$F$9+Embeddings!H$96*$F$10+Embeddings!I$96*$F$11</f>
        <v>-0.322629829230066</v>
      </c>
      <c r="G54" s="9" t="n">
        <f aca="false">Embeddings!B$96*$G$4+Embeddings!C$96*$G$5+Embeddings!D$96*$G$6+Embeddings!E$96*$G$7+Embeddings!F$96*$G$8+Embeddings!G$96*$G$9+Embeddings!H$96*$G$10+Embeddings!I$96*$G$11</f>
        <v>0.132903330274073</v>
      </c>
      <c r="H54" s="9" t="n">
        <f aca="false">Embeddings!B$96*$H$4+Embeddings!C$96*$H$5+Embeddings!D$96*$H$6+Embeddings!E$96*$H$7+Embeddings!F$96*$H$8+Embeddings!G$96*$H$9+Embeddings!H$96*$H$10+Embeddings!I$96*$H$11</f>
        <v>0.113619801194428</v>
      </c>
      <c r="I54" s="9" t="n">
        <f aca="false">Embeddings!B$96*$I$4+Embeddings!C$96*$I$5+Embeddings!D$96*$I$6+Embeddings!E$96*$I$7+Embeddings!F$96*$I$8+Embeddings!G$96*$I$9+Embeddings!H$96*$I$10+Embeddings!I$96*$I$11</f>
        <v>0.12895691847741</v>
      </c>
    </row>
    <row r="55" customFormat="false" ht="15" hidden="false" customHeight="false" outlineLevel="0" collapsed="false">
      <c r="A55" s="0" t="n">
        <v>7</v>
      </c>
      <c r="B55" s="9" t="n">
        <f aca="false">Embeddings!B$97*$B$4+Embeddings!C$97*$B$5+Embeddings!D$97*$B$6+Embeddings!E$97*$B$7+Embeddings!F$97*$B$8+Embeddings!G$97*$B$9+Embeddings!H$97*$B$10+Embeddings!I$97*$B$11</f>
        <v>0.287645255920264</v>
      </c>
      <c r="C55" s="9" t="n">
        <f aca="false">Embeddings!B$97*$C$4+Embeddings!C$97*$C$5+Embeddings!D$97*$C$6+Embeddings!E$97*$C$7+Embeddings!F$97*$C$8+Embeddings!G$97*$C$9+Embeddings!H$97*$C$10+Embeddings!I$97*$C$11</f>
        <v>-0.273202604919313</v>
      </c>
      <c r="D55" s="9" t="n">
        <f aca="false">Embeddings!B$97*$D$4+Embeddings!C$97*$D$5+Embeddings!D$97*$D$6+Embeddings!E$97*$D$7+Embeddings!F$97*$D$8+Embeddings!G$97*$D$9+Embeddings!H$97*$D$10+Embeddings!I$97*$D$11</f>
        <v>-0.115103703394556</v>
      </c>
      <c r="E55" s="9" t="n">
        <f aca="false">Embeddings!B$97*$E$4+Embeddings!C$97*$E$5+Embeddings!D$97*$E$6+Embeddings!E$97*$E$7+Embeddings!F$97*$E$8+Embeddings!G$97*$E$9+Embeddings!H$97*$E$10+Embeddings!I$97*$E$11</f>
        <v>-0.198656209611816</v>
      </c>
      <c r="F55" s="9" t="n">
        <f aca="false">Embeddings!B$97*$F$4+Embeddings!C$97*$F$5+Embeddings!D$97*$F$6+Embeddings!E$97*$F$7+Embeddings!F$97*$F$8+Embeddings!G$97*$F$9+Embeddings!H$97*$F$10+Embeddings!I$97*$F$11</f>
        <v>-0.020631108151544</v>
      </c>
      <c r="G55" s="9" t="n">
        <f aca="false">Embeddings!B$97*$G$4+Embeddings!C$97*$G$5+Embeddings!D$97*$G$6+Embeddings!E$97*$G$7+Embeddings!F$97*$G$8+Embeddings!G$97*$G$9+Embeddings!H$97*$G$10+Embeddings!I$97*$G$11</f>
        <v>-0.191220100216288</v>
      </c>
      <c r="H55" s="9" t="n">
        <f aca="false">Embeddings!B$97*$H$4+Embeddings!C$97*$H$5+Embeddings!D$97*$H$6+Embeddings!E$97*$H$7+Embeddings!F$97*$H$8+Embeddings!G$97*$H$9+Embeddings!H$97*$H$10+Embeddings!I$97*$H$11</f>
        <v>0.321063238741882</v>
      </c>
      <c r="I55" s="9" t="n">
        <f aca="false">Embeddings!B$97*$I$4+Embeddings!C$97*$I$5+Embeddings!D$97*$I$6+Embeddings!E$97*$I$7+Embeddings!F$97*$I$8+Embeddings!G$97*$I$9+Embeddings!H$97*$I$10+Embeddings!I$97*$I$11</f>
        <v>-0.274557822538496</v>
      </c>
    </row>
    <row r="58" customFormat="false" ht="15" hidden="false" customHeight="false" outlineLevel="0" collapsed="false">
      <c r="A58" s="2" t="s">
        <v>245</v>
      </c>
    </row>
    <row r="59" customFormat="false" ht="15" hidden="false" customHeight="false" outlineLevel="0" collapsed="false">
      <c r="A59" s="0" t="s">
        <v>236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s">
        <v>250</v>
      </c>
      <c r="G59" s="2" t="s">
        <v>251</v>
      </c>
      <c r="H59" s="2" t="s">
        <v>252</v>
      </c>
      <c r="I59" s="2" t="s">
        <v>253</v>
      </c>
    </row>
    <row r="60" customFormat="false" ht="15" hidden="false" customHeight="false" outlineLevel="0" collapsed="false">
      <c r="A60" s="0" t="n">
        <v>0</v>
      </c>
      <c r="B60" s="9" t="n">
        <f aca="false">Embeddings!B$90*$B$14+Embeddings!C$90*$B$15+Embeddings!D$90*$B$16+Embeddings!E$90*$B$17+Embeddings!F$90*$B$18+Embeddings!G$90*$B$19+Embeddings!H$90*$B$20+Embeddings!I$90*$B$21</f>
        <v>0.386549385870478</v>
      </c>
      <c r="C60" s="9" t="n">
        <f aca="false">Embeddings!B$90*$C$14+Embeddings!C$90*$C$15+Embeddings!D$90*$C$16+Embeddings!E$90*$C$17+Embeddings!F$90*$C$18+Embeddings!G$90*$C$19+Embeddings!H$90*$C$20+Embeddings!I$90*$C$21</f>
        <v>-0.211631123284847</v>
      </c>
      <c r="D60" s="9" t="n">
        <f aca="false">Embeddings!B$90*$D$14+Embeddings!C$90*$D$15+Embeddings!D$90*$D$16+Embeddings!E$90*$D$17+Embeddings!F$90*$D$18+Embeddings!G$90*$D$19+Embeddings!H$90*$D$20+Embeddings!I$90*$D$21</f>
        <v>0.299081900147869</v>
      </c>
      <c r="E60" s="9" t="n">
        <f aca="false">Embeddings!B$90*$E$14+Embeddings!C$90*$E$15+Embeddings!D$90*$E$16+Embeddings!E$90*$E$17+Embeddings!F$90*$E$18+Embeddings!G$90*$E$19+Embeddings!H$90*$E$20+Embeddings!I$90*$E$21</f>
        <v>0.139514505344806</v>
      </c>
      <c r="F60" s="9" t="n">
        <f aca="false">Embeddings!B$90*$F$14+Embeddings!C$90*$F$15+Embeddings!D$90*$F$16+Embeddings!E$90*$F$17+Embeddings!F$90*$F$18+Embeddings!G$90*$F$19+Embeddings!H$90*$F$20+Embeddings!I$90*$F$21</f>
        <v>0.0221244675632372</v>
      </c>
      <c r="G60" s="9" t="n">
        <f aca="false">Embeddings!B$90*$G$14+Embeddings!C$90*$G$15+Embeddings!D$90*$G$16+Embeddings!E$90*$G$17+Embeddings!F$90*$G$18+Embeddings!G$90*$G$19+Embeddings!H$90*$G$20+Embeddings!I$90*$G$21</f>
        <v>-0.124304359082386</v>
      </c>
      <c r="H60" s="9" t="n">
        <f aca="false">Embeddings!B$90*$H$14+Embeddings!C$90*$H$15+Embeddings!D$90*$H$16+Embeddings!E$90*$H$17+Embeddings!F$90*$H$18+Embeddings!G$90*$H$19+Embeddings!H$90*$H$20+Embeddings!I$90*$H$21</f>
        <v>0.319654570616518</v>
      </c>
      <c r="I60" s="9" t="n">
        <f aca="false">Embeddings!B$90*$I$14+Embeddings!C$90*$I$15+Embeddings!D$90*$I$16+Embeddings!E$90*$I$17+Embeddings!F$90*$I$18+Embeddings!G$90*$I$19+Embeddings!H$90*$I$20+Embeddings!I$90*$I$21</f>
        <v>0.128361072072827</v>
      </c>
    </row>
    <row r="61" customFormat="false" ht="15" hidden="false" customHeight="false" outlineLevel="0" collapsed="false">
      <c r="A61" s="0" t="n">
        <v>1</v>
      </c>
      <c r="B61" s="9" t="n">
        <f aca="false">Embeddings!B$91*$B$14+Embeddings!C$91*$B$15+Embeddings!D$91*$B$16+Embeddings!E$91*$B$17+Embeddings!F$91*$B$18+Embeddings!G$91*$B$19+Embeddings!H$91*$B$20+Embeddings!I$91*$B$21</f>
        <v>-0.157976113373738</v>
      </c>
      <c r="C61" s="9" t="n">
        <f aca="false">Embeddings!B$91*$C$14+Embeddings!C$91*$C$15+Embeddings!D$91*$C$16+Embeddings!E$91*$C$17+Embeddings!F$91*$C$18+Embeddings!G$91*$C$19+Embeddings!H$91*$C$20+Embeddings!I$91*$C$21</f>
        <v>-0.302158811984699</v>
      </c>
      <c r="D61" s="9" t="n">
        <f aca="false">Embeddings!B$91*$D$14+Embeddings!C$91*$D$15+Embeddings!D$91*$D$16+Embeddings!E$91*$D$17+Embeddings!F$91*$D$18+Embeddings!G$91*$D$19+Embeddings!H$91*$D$20+Embeddings!I$91*$D$21</f>
        <v>0.235357269291348</v>
      </c>
      <c r="E61" s="9" t="n">
        <f aca="false">Embeddings!B$91*$E$14+Embeddings!C$91*$E$15+Embeddings!D$91*$E$16+Embeddings!E$91*$E$17+Embeddings!F$91*$E$18+Embeddings!G$91*$E$19+Embeddings!H$91*$E$20+Embeddings!I$91*$E$21</f>
        <v>0.0382606027182639</v>
      </c>
      <c r="F61" s="9" t="n">
        <f aca="false">Embeddings!B$91*$F$14+Embeddings!C$91*$F$15+Embeddings!D$91*$F$16+Embeddings!E$91*$F$17+Embeddings!F$91*$F$18+Embeddings!G$91*$F$19+Embeddings!H$91*$F$20+Embeddings!I$91*$F$21</f>
        <v>-0.298354403567156</v>
      </c>
      <c r="G61" s="9" t="n">
        <f aca="false">Embeddings!B$91*$G$14+Embeddings!C$91*$G$15+Embeddings!D$91*$G$16+Embeddings!E$91*$G$17+Embeddings!F$91*$G$18+Embeddings!G$91*$G$19+Embeddings!H$91*$G$20+Embeddings!I$91*$G$21</f>
        <v>-0.0943734416085237</v>
      </c>
      <c r="H61" s="9" t="n">
        <f aca="false">Embeddings!B$91*$H$14+Embeddings!C$91*$H$15+Embeddings!D$91*$H$16+Embeddings!E$91*$H$17+Embeddings!F$91*$H$18+Embeddings!G$91*$H$19+Embeddings!H$91*$H$20+Embeddings!I$91*$H$21</f>
        <v>-0.397655374601507</v>
      </c>
      <c r="I61" s="9" t="n">
        <f aca="false">Embeddings!B$91*$I$14+Embeddings!C$91*$I$15+Embeddings!D$91*$I$16+Embeddings!E$91*$I$17+Embeddings!F$91*$I$18+Embeddings!G$91*$I$19+Embeddings!H$91*$I$20+Embeddings!I$91*$I$21</f>
        <v>0.36632879755982</v>
      </c>
    </row>
    <row r="62" customFormat="false" ht="15" hidden="false" customHeight="false" outlineLevel="0" collapsed="false">
      <c r="A62" s="0" t="n">
        <v>2</v>
      </c>
      <c r="B62" s="9" t="n">
        <f aca="false">Embeddings!B$92*$B$14+Embeddings!C$92*$B$15+Embeddings!D$92*$B$16+Embeddings!E$92*$B$17+Embeddings!F$92*$B$18+Embeddings!G$92*$B$19+Embeddings!H$92*$B$20+Embeddings!I$92*$B$21</f>
        <v>-0.211678709533938</v>
      </c>
      <c r="C62" s="9" t="n">
        <f aca="false">Embeddings!B$92*$C$14+Embeddings!C$92*$C$15+Embeddings!D$92*$C$16+Embeddings!E$92*$C$17+Embeddings!F$92*$C$18+Embeddings!G$92*$C$19+Embeddings!H$92*$C$20+Embeddings!I$92*$C$21</f>
        <v>-0.183700781324889</v>
      </c>
      <c r="D62" s="9" t="n">
        <f aca="false">Embeddings!B$92*$D$14+Embeddings!C$92*$D$15+Embeddings!D$92*$D$16+Embeddings!E$92*$D$17+Embeddings!F$92*$D$18+Embeddings!G$92*$D$19+Embeddings!H$92*$D$20+Embeddings!I$92*$D$21</f>
        <v>0.565584028328625</v>
      </c>
      <c r="E62" s="9" t="n">
        <f aca="false">Embeddings!B$92*$E$14+Embeddings!C$92*$E$15+Embeddings!D$92*$E$16+Embeddings!E$92*$E$17+Embeddings!F$92*$E$18+Embeddings!G$92*$E$19+Embeddings!H$92*$E$20+Embeddings!I$92*$E$21</f>
        <v>0.0907930873940325</v>
      </c>
      <c r="F62" s="9" t="n">
        <f aca="false">Embeddings!B$92*$F$14+Embeddings!C$92*$F$15+Embeddings!D$92*$F$16+Embeddings!E$92*$F$17+Embeddings!F$92*$F$18+Embeddings!G$92*$F$19+Embeddings!H$92*$F$20+Embeddings!I$92*$F$21</f>
        <v>0.148532277404824</v>
      </c>
      <c r="G62" s="9" t="n">
        <f aca="false">Embeddings!B$92*$G$14+Embeddings!C$92*$G$15+Embeddings!D$92*$G$16+Embeddings!E$92*$G$17+Embeddings!F$92*$G$18+Embeddings!G$92*$G$19+Embeddings!H$92*$G$20+Embeddings!I$92*$G$21</f>
        <v>-0.350579452692051</v>
      </c>
      <c r="H62" s="9" t="n">
        <f aca="false">Embeddings!B$92*$H$14+Embeddings!C$92*$H$15+Embeddings!D$92*$H$16+Embeddings!E$92*$H$17+Embeddings!F$92*$H$18+Embeddings!G$92*$H$19+Embeddings!H$92*$H$20+Embeddings!I$92*$H$21</f>
        <v>0.167280315242545</v>
      </c>
      <c r="I62" s="9" t="n">
        <f aca="false">Embeddings!B$92*$I$14+Embeddings!C$92*$I$15+Embeddings!D$92*$I$16+Embeddings!E$92*$I$17+Embeddings!F$92*$I$18+Embeddings!G$92*$I$19+Embeddings!H$92*$I$20+Embeddings!I$92*$I$21</f>
        <v>0.123494133205374</v>
      </c>
    </row>
    <row r="63" customFormat="false" ht="15" hidden="false" customHeight="false" outlineLevel="0" collapsed="false">
      <c r="A63" s="0" t="n">
        <v>3</v>
      </c>
      <c r="B63" s="9" t="n">
        <f aca="false">Embeddings!B$93*$B$14+Embeddings!C$93*$B$15+Embeddings!D$93*$B$16+Embeddings!E$93*$B$17+Embeddings!F$93*$B$18+Embeddings!G$93*$B$19+Embeddings!H$93*$B$20+Embeddings!I$93*$B$21</f>
        <v>0.614998163739042</v>
      </c>
      <c r="C63" s="9" t="n">
        <f aca="false">Embeddings!B$93*$C$14+Embeddings!C$93*$C$15+Embeddings!D$93*$C$16+Embeddings!E$93*$C$17+Embeddings!F$93*$C$18+Embeddings!G$93*$C$19+Embeddings!H$93*$C$20+Embeddings!I$93*$C$21</f>
        <v>-0.236468595232627</v>
      </c>
      <c r="D63" s="9" t="n">
        <f aca="false">Embeddings!B$93*$D$14+Embeddings!C$93*$D$15+Embeddings!D$93*$D$16+Embeddings!E$93*$D$17+Embeddings!F$93*$D$18+Embeddings!G$93*$D$19+Embeddings!H$93*$D$20+Embeddings!I$93*$D$21</f>
        <v>0.476866254503176</v>
      </c>
      <c r="E63" s="9" t="n">
        <f aca="false">Embeddings!B$93*$E$14+Embeddings!C$93*$E$15+Embeddings!D$93*$E$16+Embeddings!E$93*$E$17+Embeddings!F$93*$E$18+Embeddings!G$93*$E$19+Embeddings!H$93*$E$20+Embeddings!I$93*$E$21</f>
        <v>-0.153803097011909</v>
      </c>
      <c r="F63" s="9" t="n">
        <f aca="false">Embeddings!B$93*$F$14+Embeddings!C$93*$F$15+Embeddings!D$93*$F$16+Embeddings!E$93*$F$17+Embeddings!F$93*$F$18+Embeddings!G$93*$F$19+Embeddings!H$93*$F$20+Embeddings!I$93*$F$21</f>
        <v>0.343768493381599</v>
      </c>
      <c r="G63" s="9" t="n">
        <f aca="false">Embeddings!B$93*$G$14+Embeddings!C$93*$G$15+Embeddings!D$93*$G$16+Embeddings!E$93*$G$17+Embeddings!F$93*$G$18+Embeddings!G$93*$G$19+Embeddings!H$93*$G$20+Embeddings!I$93*$G$21</f>
        <v>-0.156113475747493</v>
      </c>
      <c r="H63" s="9" t="n">
        <f aca="false">Embeddings!B$93*$H$14+Embeddings!C$93*$H$15+Embeddings!D$93*$H$16+Embeddings!E$93*$H$17+Embeddings!F$93*$H$18+Embeddings!G$93*$H$19+Embeddings!H$93*$H$20+Embeddings!I$93*$H$21</f>
        <v>0.229166756097391</v>
      </c>
      <c r="I63" s="9" t="n">
        <f aca="false">Embeddings!B$93*$I$14+Embeddings!C$93*$I$15+Embeddings!D$93*$I$16+Embeddings!E$93*$I$17+Embeddings!F$93*$I$18+Embeddings!G$93*$I$19+Embeddings!H$93*$I$20+Embeddings!I$93*$I$21</f>
        <v>0.083856004635936</v>
      </c>
    </row>
    <row r="64" customFormat="false" ht="15" hidden="false" customHeight="false" outlineLevel="0" collapsed="false">
      <c r="A64" s="0" t="n">
        <v>4</v>
      </c>
      <c r="B64" s="9" t="n">
        <f aca="false">Embeddings!B$94*$B$14+Embeddings!C$94*$B$15+Embeddings!D$94*$B$16+Embeddings!E$94*$B$17+Embeddings!F$94*$B$18+Embeddings!G$94*$B$19+Embeddings!H$94*$B$20+Embeddings!I$94*$B$21</f>
        <v>0.140461051169137</v>
      </c>
      <c r="C64" s="9" t="n">
        <f aca="false">Embeddings!B$94*$C$14+Embeddings!C$94*$C$15+Embeddings!D$94*$C$16+Embeddings!E$94*$C$17+Embeddings!F$94*$C$18+Embeddings!G$94*$C$19+Embeddings!H$94*$C$20+Embeddings!I$94*$C$21</f>
        <v>-0.124601410459076</v>
      </c>
      <c r="D64" s="9" t="n">
        <f aca="false">Embeddings!B$94*$D$14+Embeddings!C$94*$D$15+Embeddings!D$94*$D$16+Embeddings!E$94*$D$17+Embeddings!F$94*$D$18+Embeddings!G$94*$D$19+Embeddings!H$94*$D$20+Embeddings!I$94*$D$21</f>
        <v>0.505760848663525</v>
      </c>
      <c r="E64" s="9" t="n">
        <f aca="false">Embeddings!B$94*$E$14+Embeddings!C$94*$E$15+Embeddings!D$94*$E$16+Embeddings!E$94*$E$17+Embeddings!F$94*$E$18+Embeddings!G$94*$E$19+Embeddings!H$94*$E$20+Embeddings!I$94*$E$21</f>
        <v>0.0235998830876248</v>
      </c>
      <c r="F64" s="9" t="n">
        <f aca="false">Embeddings!B$94*$F$14+Embeddings!C$94*$F$15+Embeddings!D$94*$F$16+Embeddings!E$94*$F$17+Embeddings!F$94*$F$18+Embeddings!G$94*$F$19+Embeddings!H$94*$F$20+Embeddings!I$94*$F$21</f>
        <v>0.0208286560543408</v>
      </c>
      <c r="G64" s="9" t="n">
        <f aca="false">Embeddings!B$94*$G$14+Embeddings!C$94*$G$15+Embeddings!D$94*$G$16+Embeddings!E$94*$G$17+Embeddings!F$94*$G$18+Embeddings!G$94*$G$19+Embeddings!H$94*$G$20+Embeddings!I$94*$G$21</f>
        <v>-0.220557699322234</v>
      </c>
      <c r="H64" s="9" t="n">
        <f aca="false">Embeddings!B$94*$H$14+Embeddings!C$94*$H$15+Embeddings!D$94*$H$16+Embeddings!E$94*$H$17+Embeddings!F$94*$H$18+Embeddings!G$94*$H$19+Embeddings!H$94*$H$20+Embeddings!I$94*$H$21</f>
        <v>-0.30254165306039</v>
      </c>
      <c r="I64" s="9" t="n">
        <f aca="false">Embeddings!B$94*$I$14+Embeddings!C$94*$I$15+Embeddings!D$94*$I$16+Embeddings!E$94*$I$17+Embeddings!F$94*$I$18+Embeddings!G$94*$I$19+Embeddings!H$94*$I$20+Embeddings!I$94*$I$21</f>
        <v>0.428520035812548</v>
      </c>
    </row>
    <row r="65" customFormat="false" ht="15" hidden="false" customHeight="false" outlineLevel="0" collapsed="false">
      <c r="A65" s="0" t="n">
        <v>5</v>
      </c>
      <c r="B65" s="9" t="n">
        <f aca="false">Embeddings!B$95*$B$14+Embeddings!C$95*$B$15+Embeddings!D$95*$B$16+Embeddings!E$95*$B$17+Embeddings!F$95*$B$18+Embeddings!G$95*$B$19+Embeddings!H$95*$B$20+Embeddings!I$95*$B$21</f>
        <v>0.171675235385568</v>
      </c>
      <c r="C65" s="9" t="n">
        <f aca="false">Embeddings!B$95*$C$14+Embeddings!C$95*$C$15+Embeddings!D$95*$C$16+Embeddings!E$95*$C$17+Embeddings!F$95*$C$18+Embeddings!G$95*$C$19+Embeddings!H$95*$C$20+Embeddings!I$95*$C$21</f>
        <v>0.12375887122822</v>
      </c>
      <c r="D65" s="9" t="n">
        <f aca="false">Embeddings!B$95*$D$14+Embeddings!C$95*$D$15+Embeddings!D$95*$D$16+Embeddings!E$95*$D$17+Embeddings!F$95*$D$18+Embeddings!G$95*$D$19+Embeddings!H$95*$D$20+Embeddings!I$95*$D$21</f>
        <v>0.857077452752875</v>
      </c>
      <c r="E65" s="9" t="n">
        <f aca="false">Embeddings!B$95*$E$14+Embeddings!C$95*$E$15+Embeddings!D$95*$E$16+Embeddings!E$95*$E$17+Embeddings!F$95*$E$18+Embeddings!G$95*$E$19+Embeddings!H$95*$E$20+Embeddings!I$95*$E$21</f>
        <v>0.352321654926132</v>
      </c>
      <c r="F65" s="9" t="n">
        <f aca="false">Embeddings!B$95*$F$14+Embeddings!C$95*$F$15+Embeddings!D$95*$F$16+Embeddings!E$95*$F$17+Embeddings!F$95*$F$18+Embeddings!G$95*$F$19+Embeddings!H$95*$F$20+Embeddings!I$95*$F$21</f>
        <v>0.69509933392322</v>
      </c>
      <c r="G65" s="9" t="n">
        <f aca="false">Embeddings!B$95*$G$14+Embeddings!C$95*$G$15+Embeddings!D$95*$G$16+Embeddings!E$95*$G$17+Embeddings!F$95*$G$18+Embeddings!G$95*$G$19+Embeddings!H$95*$G$20+Embeddings!I$95*$G$21</f>
        <v>-0.375876541765944</v>
      </c>
      <c r="H65" s="9" t="n">
        <f aca="false">Embeddings!B$95*$H$14+Embeddings!C$95*$H$15+Embeddings!D$95*$H$16+Embeddings!E$95*$H$17+Embeddings!F$95*$H$18+Embeddings!G$95*$H$19+Embeddings!H$95*$H$20+Embeddings!I$95*$H$21</f>
        <v>0.37136164110474</v>
      </c>
      <c r="I65" s="9" t="n">
        <f aca="false">Embeddings!B$95*$I$14+Embeddings!C$95*$I$15+Embeddings!D$95*$I$16+Embeddings!E$95*$I$17+Embeddings!F$95*$I$18+Embeddings!G$95*$I$19+Embeddings!H$95*$I$20+Embeddings!I$95*$I$21</f>
        <v>-0.0164050585730584</v>
      </c>
    </row>
    <row r="66" customFormat="false" ht="15" hidden="false" customHeight="false" outlineLevel="0" collapsed="false">
      <c r="A66" s="0" t="n">
        <v>6</v>
      </c>
      <c r="B66" s="9" t="n">
        <f aca="false">Embeddings!B$96*$B$14+Embeddings!C$96*$B$15+Embeddings!D$96*$B$16+Embeddings!E$96*$B$17+Embeddings!F$96*$B$18+Embeddings!G$96*$B$19+Embeddings!H$96*$B$20+Embeddings!I$96*$B$21</f>
        <v>0.092239827104961</v>
      </c>
      <c r="C66" s="9" t="n">
        <f aca="false">Embeddings!B$96*$C$14+Embeddings!C$96*$C$15+Embeddings!D$96*$C$16+Embeddings!E$96*$C$17+Embeddings!F$96*$C$18+Embeddings!G$96*$C$19+Embeddings!H$96*$C$20+Embeddings!I$96*$C$21</f>
        <v>-0.101682687209286</v>
      </c>
      <c r="D66" s="9" t="n">
        <f aca="false">Embeddings!B$96*$D$14+Embeddings!C$96*$D$15+Embeddings!D$96*$D$16+Embeddings!E$96*$D$17+Embeddings!F$96*$D$18+Embeddings!G$96*$D$19+Embeddings!H$96*$D$20+Embeddings!I$96*$D$21</f>
        <v>0.0578175229089694</v>
      </c>
      <c r="E66" s="9" t="n">
        <f aca="false">Embeddings!B$96*$E$14+Embeddings!C$96*$E$15+Embeddings!D$96*$E$16+Embeddings!E$96*$E$17+Embeddings!F$96*$E$18+Embeddings!G$96*$E$19+Embeddings!H$96*$E$20+Embeddings!I$96*$E$21</f>
        <v>-0.104346278946089</v>
      </c>
      <c r="F66" s="9" t="n">
        <f aca="false">Embeddings!B$96*$F$14+Embeddings!C$96*$F$15+Embeddings!D$96*$F$16+Embeddings!E$96*$F$17+Embeddings!F$96*$F$18+Embeddings!G$96*$F$19+Embeddings!H$96*$F$20+Embeddings!I$96*$F$21</f>
        <v>-0.253530111422959</v>
      </c>
      <c r="G66" s="9" t="n">
        <f aca="false">Embeddings!B$96*$G$14+Embeddings!C$96*$G$15+Embeddings!D$96*$G$16+Embeddings!E$96*$G$17+Embeddings!F$96*$G$18+Embeddings!G$96*$G$19+Embeddings!H$96*$G$20+Embeddings!I$96*$G$21</f>
        <v>-0.24202739029581</v>
      </c>
      <c r="H66" s="9" t="n">
        <f aca="false">Embeddings!B$96*$H$14+Embeddings!C$96*$H$15+Embeddings!D$96*$H$16+Embeddings!E$96*$H$17+Embeddings!F$96*$H$18+Embeddings!G$96*$H$19+Embeddings!H$96*$H$20+Embeddings!I$96*$H$21</f>
        <v>0.175517599702386</v>
      </c>
      <c r="I66" s="9" t="n">
        <f aca="false">Embeddings!B$96*$I$14+Embeddings!C$96*$I$15+Embeddings!D$96*$I$16+Embeddings!E$96*$I$17+Embeddings!F$96*$I$18+Embeddings!G$96*$I$19+Embeddings!H$96*$I$20+Embeddings!I$96*$I$21</f>
        <v>0.208683035832488</v>
      </c>
    </row>
    <row r="67" customFormat="false" ht="15" hidden="false" customHeight="false" outlineLevel="0" collapsed="false">
      <c r="A67" s="0" t="n">
        <v>7</v>
      </c>
      <c r="B67" s="9" t="n">
        <f aca="false">Embeddings!B$97*$B$14+Embeddings!C$97*$B$15+Embeddings!D$97*$B$16+Embeddings!E$97*$B$17+Embeddings!F$97*$B$18+Embeddings!G$97*$B$19+Embeddings!H$97*$B$20+Embeddings!I$97*$B$21</f>
        <v>0.525002169143586</v>
      </c>
      <c r="C67" s="9" t="n">
        <f aca="false">Embeddings!B$97*$C$14+Embeddings!C$97*$C$15+Embeddings!D$97*$C$16+Embeddings!E$97*$C$17+Embeddings!F$97*$C$18+Embeddings!G$97*$C$19+Embeddings!H$97*$C$20+Embeddings!I$97*$C$21</f>
        <v>-0.271126115762753</v>
      </c>
      <c r="D67" s="9" t="n">
        <f aca="false">Embeddings!B$97*$D$14+Embeddings!C$97*$D$15+Embeddings!D$97*$D$16+Embeddings!E$97*$D$17+Embeddings!F$97*$D$18+Embeddings!G$97*$D$19+Embeddings!H$97*$D$20+Embeddings!I$97*$D$21</f>
        <v>0.197156292896622</v>
      </c>
      <c r="E67" s="9" t="n">
        <f aca="false">Embeddings!B$97*$E$14+Embeddings!C$97*$E$15+Embeddings!D$97*$E$16+Embeddings!E$97*$E$17+Embeddings!F$97*$E$18+Embeddings!G$97*$E$19+Embeddings!H$97*$E$20+Embeddings!I$97*$E$21</f>
        <v>-0.130580916206327</v>
      </c>
      <c r="F67" s="9" t="n">
        <f aca="false">Embeddings!B$97*$F$14+Embeddings!C$97*$F$15+Embeddings!D$97*$F$16+Embeddings!E$97*$F$17+Embeddings!F$97*$F$18+Embeddings!G$97*$F$19+Embeddings!H$97*$F$20+Embeddings!I$97*$F$21</f>
        <v>0.113214576307745</v>
      </c>
      <c r="G67" s="9" t="n">
        <f aca="false">Embeddings!B$97*$G$14+Embeddings!C$97*$G$15+Embeddings!D$97*$G$16+Embeddings!E$97*$G$17+Embeddings!F$97*$G$18+Embeddings!G$97*$G$19+Embeddings!H$97*$G$20+Embeddings!I$97*$G$21</f>
        <v>0.132336423104224</v>
      </c>
      <c r="H67" s="9" t="n">
        <f aca="false">Embeddings!B$97*$H$14+Embeddings!C$97*$H$15+Embeddings!D$97*$H$16+Embeddings!E$97*$H$17+Embeddings!F$97*$H$18+Embeddings!G$97*$H$19+Embeddings!H$97*$H$20+Embeddings!I$97*$H$21</f>
        <v>0.150203190911415</v>
      </c>
      <c r="I67" s="9" t="n">
        <f aca="false">Embeddings!B$97*$I$14+Embeddings!C$97*$I$15+Embeddings!D$97*$I$16+Embeddings!E$97*$I$17+Embeddings!F$97*$I$18+Embeddings!G$97*$I$19+Embeddings!H$97*$I$20+Embeddings!I$97*$I$21</f>
        <v>0.165533766328512</v>
      </c>
    </row>
    <row r="69" customFormat="false" ht="15" hidden="false" customHeight="false" outlineLevel="0" collapsed="false">
      <c r="A69" s="2" t="s">
        <v>254</v>
      </c>
    </row>
    <row r="70" customFormat="false" ht="15" hidden="false" customHeight="false" outlineLevel="0" collapsed="false">
      <c r="A70" s="0" t="s">
        <v>236</v>
      </c>
      <c r="B70" s="2" t="s">
        <v>255</v>
      </c>
      <c r="C70" s="2" t="s">
        <v>256</v>
      </c>
      <c r="D70" s="2" t="s">
        <v>257</v>
      </c>
      <c r="E70" s="2" t="s">
        <v>258</v>
      </c>
      <c r="F70" s="2" t="s">
        <v>259</v>
      </c>
      <c r="G70" s="2" t="s">
        <v>260</v>
      </c>
      <c r="H70" s="2" t="s">
        <v>261</v>
      </c>
      <c r="I70" s="2" t="s">
        <v>262</v>
      </c>
    </row>
    <row r="71" customFormat="false" ht="15" hidden="false" customHeight="false" outlineLevel="0" collapsed="false">
      <c r="A71" s="0" t="n">
        <v>0</v>
      </c>
      <c r="B71" s="9" t="n">
        <f aca="false">Embeddings!B$90*$B$24+Embeddings!C$90*$B$25+Embeddings!D$90*$B$26+Embeddings!E$90*$B$27+Embeddings!F$90*$B$28+Embeddings!G$90*$B$29+Embeddings!H$90*$B$30+Embeddings!I$90*$B$31</f>
        <v>-0.0645173208008329</v>
      </c>
      <c r="C71" s="9" t="n">
        <f aca="false">Embeddings!B$90*$C$24+Embeddings!C$90*$C$25+Embeddings!D$90*$C$26+Embeddings!E$90*$C$27+Embeddings!F$90*$C$28+Embeddings!G$90*$C$29+Embeddings!H$90*$C$30+Embeddings!I$90*$C$31</f>
        <v>-0.0907951563530803</v>
      </c>
      <c r="D71" s="9" t="n">
        <f aca="false">Embeddings!B$90*$D$24+Embeddings!C$90*$D$25+Embeddings!D$90*$D$26+Embeddings!E$90*$D$27+Embeddings!F$90*$D$28+Embeddings!G$90*$D$29+Embeddings!H$90*$D$30+Embeddings!I$90*$D$31</f>
        <v>0.359869925855449</v>
      </c>
      <c r="E71" s="9" t="n">
        <f aca="false">Embeddings!B$90*$E$24+Embeddings!C$90*$E$25+Embeddings!D$90*$E$26+Embeddings!E$90*$E$27+Embeddings!F$90*$E$28+Embeddings!G$90*$E$29+Embeddings!H$90*$E$30+Embeddings!I$90*$E$31</f>
        <v>-0.0842099136381986</v>
      </c>
      <c r="F71" s="9" t="n">
        <f aca="false">Embeddings!B$90*$F$24+Embeddings!C$90*$F$25+Embeddings!D$90*$F$26+Embeddings!E$90*$F$27+Embeddings!F$90*$F$28+Embeddings!G$90*$F$29+Embeddings!H$90*$F$30+Embeddings!I$90*$F$31</f>
        <v>0.0267157912232325</v>
      </c>
      <c r="G71" s="9" t="n">
        <f aca="false">Embeddings!B$90*$G$24+Embeddings!C$90*$G$25+Embeddings!D$90*$G$26+Embeddings!E$90*$G$27+Embeddings!F$90*$G$28+Embeddings!G$90*$G$29+Embeddings!H$90*$G$30+Embeddings!I$90*$G$31</f>
        <v>0.0303827667861344</v>
      </c>
      <c r="H71" s="9" t="n">
        <f aca="false">Embeddings!B$90*$H$24+Embeddings!C$90*$H$25+Embeddings!D$90*$H$26+Embeddings!E$90*$H$27+Embeddings!F$90*$H$28+Embeddings!G$90*$H$29+Embeddings!H$90*$H$30+Embeddings!I$90*$H$31</f>
        <v>0.165818576865768</v>
      </c>
      <c r="I71" s="9" t="n">
        <f aca="false">Embeddings!B$90*$I$24+Embeddings!C$90*$I$25+Embeddings!D$90*$I$26+Embeddings!E$90*$I$27+Embeddings!F$90*$I$28+Embeddings!G$90*$I$29+Embeddings!H$90*$I$30+Embeddings!I$90*$I$31</f>
        <v>0.181874989719279</v>
      </c>
    </row>
    <row r="72" customFormat="false" ht="15" hidden="false" customHeight="false" outlineLevel="0" collapsed="false">
      <c r="A72" s="0" t="n">
        <v>1</v>
      </c>
      <c r="B72" s="9" t="n">
        <f aca="false">Embeddings!B$91*$B$24+Embeddings!C$91*$B$25+Embeddings!D$91*$B$26+Embeddings!E$91*$B$27+Embeddings!F$91*$B$28+Embeddings!G$91*$B$29+Embeddings!H$91*$B$30+Embeddings!I$91*$B$31</f>
        <v>-0.136352819849947</v>
      </c>
      <c r="C72" s="9" t="n">
        <f aca="false">Embeddings!B$91*$C$24+Embeddings!C$91*$C$25+Embeddings!D$91*$C$26+Embeddings!E$91*$C$27+Embeddings!F$91*$C$28+Embeddings!G$91*$C$29+Embeddings!H$91*$C$30+Embeddings!I$91*$C$31</f>
        <v>0.17691051426005</v>
      </c>
      <c r="D72" s="9" t="n">
        <f aca="false">Embeddings!B$91*$D$24+Embeddings!C$91*$D$25+Embeddings!D$91*$D$26+Embeddings!E$91*$D$27+Embeddings!F$91*$D$28+Embeddings!G$91*$D$29+Embeddings!H$91*$D$30+Embeddings!I$91*$D$31</f>
        <v>0.60547593973512</v>
      </c>
      <c r="E72" s="9" t="n">
        <f aca="false">Embeddings!B$91*$E$24+Embeddings!C$91*$E$25+Embeddings!D$91*$E$26+Embeddings!E$91*$E$27+Embeddings!F$91*$E$28+Embeddings!G$91*$E$29+Embeddings!H$91*$E$30+Embeddings!I$91*$E$31</f>
        <v>0.00173247757333503</v>
      </c>
      <c r="F72" s="9" t="n">
        <f aca="false">Embeddings!B$91*$F$24+Embeddings!C$91*$F$25+Embeddings!D$91*$F$26+Embeddings!E$91*$F$27+Embeddings!F$91*$F$28+Embeddings!G$91*$F$29+Embeddings!H$91*$F$30+Embeddings!I$91*$F$31</f>
        <v>0.290699971824278</v>
      </c>
      <c r="G72" s="9" t="n">
        <f aca="false">Embeddings!B$91*$G$24+Embeddings!C$91*$G$25+Embeddings!D$91*$G$26+Embeddings!E$91*$G$27+Embeddings!F$91*$G$28+Embeddings!G$91*$G$29+Embeddings!H$91*$G$30+Embeddings!I$91*$G$31</f>
        <v>-0.388457707068038</v>
      </c>
      <c r="H72" s="9" t="n">
        <f aca="false">Embeddings!B$91*$H$24+Embeddings!C$91*$H$25+Embeddings!D$91*$H$26+Embeddings!E$91*$H$27+Embeddings!F$91*$H$28+Embeddings!G$91*$H$29+Embeddings!H$91*$H$30+Embeddings!I$91*$H$31</f>
        <v>-0.112469901083302</v>
      </c>
      <c r="I72" s="9" t="n">
        <f aca="false">Embeddings!B$91*$I$24+Embeddings!C$91*$I$25+Embeddings!D$91*$I$26+Embeddings!E$91*$I$27+Embeddings!F$91*$I$28+Embeddings!G$91*$I$29+Embeddings!H$91*$I$30+Embeddings!I$91*$I$31</f>
        <v>0.138066926352515</v>
      </c>
    </row>
    <row r="73" customFormat="false" ht="15" hidden="false" customHeight="false" outlineLevel="0" collapsed="false">
      <c r="A73" s="0" t="n">
        <v>2</v>
      </c>
      <c r="B73" s="9" t="n">
        <f aca="false">Embeddings!B$92*$B$24+Embeddings!C$92*$B$25+Embeddings!D$92*$B$26+Embeddings!E$92*$B$27+Embeddings!F$92*$B$28+Embeddings!G$92*$B$29+Embeddings!H$92*$B$30+Embeddings!I$92*$B$31</f>
        <v>0.0552494179606409</v>
      </c>
      <c r="C73" s="9" t="n">
        <f aca="false">Embeddings!B$92*$C$24+Embeddings!C$92*$C$25+Embeddings!D$92*$C$26+Embeddings!E$92*$C$27+Embeddings!F$92*$C$28+Embeddings!G$92*$C$29+Embeddings!H$92*$C$30+Embeddings!I$92*$C$31</f>
        <v>0.338355768108789</v>
      </c>
      <c r="D73" s="9" t="n">
        <f aca="false">Embeddings!B$92*$D$24+Embeddings!C$92*$D$25+Embeddings!D$92*$D$26+Embeddings!E$92*$D$27+Embeddings!F$92*$D$28+Embeddings!G$92*$D$29+Embeddings!H$92*$D$30+Embeddings!I$92*$D$31</f>
        <v>0.265712229796454</v>
      </c>
      <c r="E73" s="9" t="n">
        <f aca="false">Embeddings!B$92*$E$24+Embeddings!C$92*$E$25+Embeddings!D$92*$E$26+Embeddings!E$92*$E$27+Embeddings!F$92*$E$28+Embeddings!G$92*$E$29+Embeddings!H$92*$E$30+Embeddings!I$92*$E$31</f>
        <v>-0.15527010494114</v>
      </c>
      <c r="F73" s="9" t="n">
        <f aca="false">Embeddings!B$92*$F$24+Embeddings!C$92*$F$25+Embeddings!D$92*$F$26+Embeddings!E$92*$F$27+Embeddings!F$92*$F$28+Embeddings!G$92*$F$29+Embeddings!H$92*$F$30+Embeddings!I$92*$F$31</f>
        <v>0.0341533256399381</v>
      </c>
      <c r="G73" s="9" t="n">
        <f aca="false">Embeddings!B$92*$G$24+Embeddings!C$92*$G$25+Embeddings!D$92*$G$26+Embeddings!E$92*$G$27+Embeddings!F$92*$G$28+Embeddings!G$92*$G$29+Embeddings!H$92*$G$30+Embeddings!I$92*$G$31</f>
        <v>-0.153098172220191</v>
      </c>
      <c r="H73" s="9" t="n">
        <f aca="false">Embeddings!B$92*$H$24+Embeddings!C$92*$H$25+Embeddings!D$92*$H$26+Embeddings!E$92*$H$27+Embeddings!F$92*$H$28+Embeddings!G$92*$H$29+Embeddings!H$92*$H$30+Embeddings!I$92*$H$31</f>
        <v>0.380986468363393</v>
      </c>
      <c r="I73" s="9" t="n">
        <f aca="false">Embeddings!B$92*$I$24+Embeddings!C$92*$I$25+Embeddings!D$92*$I$26+Embeddings!E$92*$I$27+Embeddings!F$92*$I$28+Embeddings!G$92*$I$29+Embeddings!H$92*$I$30+Embeddings!I$92*$I$31</f>
        <v>-0.275533213365271</v>
      </c>
    </row>
    <row r="74" customFormat="false" ht="15" hidden="false" customHeight="false" outlineLevel="0" collapsed="false">
      <c r="A74" s="0" t="n">
        <v>3</v>
      </c>
      <c r="B74" s="9" t="n">
        <f aca="false">Embeddings!B$93*$B$24+Embeddings!C$93*$B$25+Embeddings!D$93*$B$26+Embeddings!E$93*$B$27+Embeddings!F$93*$B$28+Embeddings!G$93*$B$29+Embeddings!H$93*$B$30+Embeddings!I$93*$B$31</f>
        <v>0.0451569643810521</v>
      </c>
      <c r="C74" s="9" t="n">
        <f aca="false">Embeddings!B$93*$C$24+Embeddings!C$93*$C$25+Embeddings!D$93*$C$26+Embeddings!E$93*$C$27+Embeddings!F$93*$C$28+Embeddings!G$93*$C$29+Embeddings!H$93*$C$30+Embeddings!I$93*$C$31</f>
        <v>-0.676004337739046</v>
      </c>
      <c r="D74" s="9" t="n">
        <f aca="false">Embeddings!B$93*$D$24+Embeddings!C$93*$D$25+Embeddings!D$93*$D$26+Embeddings!E$93*$D$27+Embeddings!F$93*$D$28+Embeddings!G$93*$D$29+Embeddings!H$93*$D$30+Embeddings!I$93*$D$31</f>
        <v>0.16766567433766</v>
      </c>
      <c r="E74" s="9" t="n">
        <f aca="false">Embeddings!B$93*$E$24+Embeddings!C$93*$E$25+Embeddings!D$93*$E$26+Embeddings!E$93*$E$27+Embeddings!F$93*$E$28+Embeddings!G$93*$E$29+Embeddings!H$93*$E$30+Embeddings!I$93*$E$31</f>
        <v>0.439149676691624</v>
      </c>
      <c r="F74" s="9" t="n">
        <f aca="false">Embeddings!B$93*$F$24+Embeddings!C$93*$F$25+Embeddings!D$93*$F$26+Embeddings!E$93*$F$27+Embeddings!F$93*$F$28+Embeddings!G$93*$F$29+Embeddings!H$93*$F$30+Embeddings!I$93*$F$31</f>
        <v>-0.437411418878725</v>
      </c>
      <c r="G74" s="9" t="n">
        <f aca="false">Embeddings!B$93*$G$24+Embeddings!C$93*$G$25+Embeddings!D$93*$G$26+Embeddings!E$93*$G$27+Embeddings!F$93*$G$28+Embeddings!G$93*$G$29+Embeddings!H$93*$G$30+Embeddings!I$93*$G$31</f>
        <v>0.33551396765673</v>
      </c>
      <c r="H74" s="9" t="n">
        <f aca="false">Embeddings!B$93*$H$24+Embeddings!C$93*$H$25+Embeddings!D$93*$H$26+Embeddings!E$93*$H$27+Embeddings!F$93*$H$28+Embeddings!G$93*$H$29+Embeddings!H$93*$H$30+Embeddings!I$93*$H$31</f>
        <v>0.258300194873126</v>
      </c>
      <c r="I74" s="9" t="n">
        <f aca="false">Embeddings!B$93*$I$24+Embeddings!C$93*$I$25+Embeddings!D$93*$I$26+Embeddings!E$93*$I$27+Embeddings!F$93*$I$28+Embeddings!G$93*$I$29+Embeddings!H$93*$I$30+Embeddings!I$93*$I$31</f>
        <v>-0.0821159877139178</v>
      </c>
    </row>
    <row r="75" customFormat="false" ht="15" hidden="false" customHeight="false" outlineLevel="0" collapsed="false">
      <c r="A75" s="0" t="n">
        <v>4</v>
      </c>
      <c r="B75" s="9" t="n">
        <f aca="false">Embeddings!B$94*$B$24+Embeddings!C$94*$B$25+Embeddings!D$94*$B$26+Embeddings!E$94*$B$27+Embeddings!F$94*$B$28+Embeddings!G$94*$B$29+Embeddings!H$94*$B$30+Embeddings!I$94*$B$31</f>
        <v>-0.137144569610515</v>
      </c>
      <c r="C75" s="9" t="n">
        <f aca="false">Embeddings!B$94*$C$24+Embeddings!C$94*$C$25+Embeddings!D$94*$C$26+Embeddings!E$94*$C$27+Embeddings!F$94*$C$28+Embeddings!G$94*$C$29+Embeddings!H$94*$C$30+Embeddings!I$94*$C$31</f>
        <v>-0.600834697112909</v>
      </c>
      <c r="D75" s="9" t="n">
        <f aca="false">Embeddings!B$94*$D$24+Embeddings!C$94*$D$25+Embeddings!D$94*$D$26+Embeddings!E$94*$D$27+Embeddings!F$94*$D$28+Embeddings!G$94*$D$29+Embeddings!H$94*$D$30+Embeddings!I$94*$D$31</f>
        <v>0.483124718121687</v>
      </c>
      <c r="E75" s="9" t="n">
        <f aca="false">Embeddings!B$94*$E$24+Embeddings!C$94*$E$25+Embeddings!D$94*$E$26+Embeddings!E$94*$E$27+Embeddings!F$94*$E$28+Embeddings!G$94*$E$29+Embeddings!H$94*$E$30+Embeddings!I$94*$E$31</f>
        <v>0.452395803325073</v>
      </c>
      <c r="F75" s="9" t="n">
        <f aca="false">Embeddings!B$94*$F$24+Embeddings!C$94*$F$25+Embeddings!D$94*$F$26+Embeddings!E$94*$F$27+Embeddings!F$94*$F$28+Embeddings!G$94*$F$29+Embeddings!H$94*$F$30+Embeddings!I$94*$F$31</f>
        <v>-0.230648933559443</v>
      </c>
      <c r="G75" s="9" t="n">
        <f aca="false">Embeddings!B$94*$G$24+Embeddings!C$94*$G$25+Embeddings!D$94*$G$26+Embeddings!E$94*$G$27+Embeddings!F$94*$G$28+Embeddings!G$94*$G$29+Embeddings!H$94*$G$30+Embeddings!I$94*$G$31</f>
        <v>-0.199359018502806</v>
      </c>
      <c r="H75" s="9" t="n">
        <f aca="false">Embeddings!B$94*$H$24+Embeddings!C$94*$H$25+Embeddings!D$94*$H$26+Embeddings!E$94*$H$27+Embeddings!F$94*$H$28+Embeddings!G$94*$H$29+Embeddings!H$94*$H$30+Embeddings!I$94*$H$31</f>
        <v>-0.288727487960466</v>
      </c>
      <c r="I75" s="9" t="n">
        <f aca="false">Embeddings!B$94*$I$24+Embeddings!C$94*$I$25+Embeddings!D$94*$I$26+Embeddings!E$94*$I$27+Embeddings!F$94*$I$28+Embeddings!G$94*$I$29+Embeddings!H$94*$I$30+Embeddings!I$94*$I$31</f>
        <v>0.261580950516532</v>
      </c>
    </row>
    <row r="76" customFormat="false" ht="15" hidden="false" customHeight="false" outlineLevel="0" collapsed="false">
      <c r="A76" s="0" t="n">
        <v>5</v>
      </c>
      <c r="B76" s="9" t="n">
        <f aca="false">Embeddings!B$95*$B$24+Embeddings!C$95*$B$25+Embeddings!D$95*$B$26+Embeddings!E$95*$B$27+Embeddings!F$95*$B$28+Embeddings!G$95*$B$29+Embeddings!H$95*$B$30+Embeddings!I$95*$B$31</f>
        <v>-0.307658839704482</v>
      </c>
      <c r="C76" s="9" t="n">
        <f aca="false">Embeddings!B$95*$C$24+Embeddings!C$95*$C$25+Embeddings!D$95*$C$26+Embeddings!E$95*$C$27+Embeddings!F$95*$C$28+Embeddings!G$95*$C$29+Embeddings!H$95*$C$30+Embeddings!I$95*$C$31</f>
        <v>-0.437133879994592</v>
      </c>
      <c r="D76" s="9" t="n">
        <f aca="false">Embeddings!B$95*$D$24+Embeddings!C$95*$D$25+Embeddings!D$95*$D$26+Embeddings!E$95*$D$27+Embeddings!F$95*$D$28+Embeddings!G$95*$D$29+Embeddings!H$95*$D$30+Embeddings!I$95*$D$31</f>
        <v>-0.193960148329149</v>
      </c>
      <c r="E76" s="9" t="n">
        <f aca="false">Embeddings!B$95*$E$24+Embeddings!C$95*$E$25+Embeddings!D$95*$E$26+Embeddings!E$95*$E$27+Embeddings!F$95*$E$28+Embeddings!G$95*$E$29+Embeddings!H$95*$E$30+Embeddings!I$95*$E$31</f>
        <v>0.057545338377515</v>
      </c>
      <c r="F76" s="9" t="n">
        <f aca="false">Embeddings!B$95*$F$24+Embeddings!C$95*$F$25+Embeddings!D$95*$F$26+Embeddings!E$95*$F$27+Embeddings!F$95*$F$28+Embeddings!G$95*$F$29+Embeddings!H$95*$F$30+Embeddings!I$95*$F$31</f>
        <v>-0.337443701246054</v>
      </c>
      <c r="G76" s="9" t="n">
        <f aca="false">Embeddings!B$95*$G$24+Embeddings!C$95*$G$25+Embeddings!D$95*$G$26+Embeddings!E$95*$G$27+Embeddings!F$95*$G$28+Embeddings!G$95*$G$29+Embeddings!H$95*$G$30+Embeddings!I$95*$G$31</f>
        <v>0.225270425284304</v>
      </c>
      <c r="H76" s="9" t="n">
        <f aca="false">Embeddings!B$95*$H$24+Embeddings!C$95*$H$25+Embeddings!D$95*$H$26+Embeddings!E$95*$H$27+Embeddings!F$95*$H$28+Embeddings!G$95*$H$29+Embeddings!H$95*$H$30+Embeddings!I$95*$H$31</f>
        <v>0.22421863697179</v>
      </c>
      <c r="I76" s="9" t="n">
        <f aca="false">Embeddings!B$95*$I$24+Embeddings!C$95*$I$25+Embeddings!D$95*$I$26+Embeddings!E$95*$I$27+Embeddings!F$95*$I$28+Embeddings!G$95*$I$29+Embeddings!H$95*$I$30+Embeddings!I$95*$I$31</f>
        <v>-0.302902159005891</v>
      </c>
    </row>
    <row r="77" customFormat="false" ht="15" hidden="false" customHeight="false" outlineLevel="0" collapsed="false">
      <c r="A77" s="0" t="n">
        <v>6</v>
      </c>
      <c r="B77" s="9" t="n">
        <f aca="false">Embeddings!B$96*$B$24+Embeddings!C$96*$B$25+Embeddings!D$96*$B$26+Embeddings!E$96*$B$27+Embeddings!F$96*$B$28+Embeddings!G$96*$B$29+Embeddings!H$96*$B$30+Embeddings!I$96*$B$31</f>
        <v>0.531815066084872</v>
      </c>
      <c r="C77" s="9" t="n">
        <f aca="false">Embeddings!B$96*$C$24+Embeddings!C$96*$C$25+Embeddings!D$96*$C$26+Embeddings!E$96*$C$27+Embeddings!F$96*$C$28+Embeddings!G$96*$C$29+Embeddings!H$96*$C$30+Embeddings!I$96*$C$31</f>
        <v>-0.0133638310605279</v>
      </c>
      <c r="D77" s="9" t="n">
        <f aca="false">Embeddings!B$96*$D$24+Embeddings!C$96*$D$25+Embeddings!D$96*$D$26+Embeddings!E$96*$D$27+Embeddings!F$96*$D$28+Embeddings!G$96*$D$29+Embeddings!H$96*$D$30+Embeddings!I$96*$D$31</f>
        <v>0.771026278018667</v>
      </c>
      <c r="E77" s="9" t="n">
        <f aca="false">Embeddings!B$96*$E$24+Embeddings!C$96*$E$25+Embeddings!D$96*$E$26+Embeddings!E$96*$E$27+Embeddings!F$96*$E$28+Embeddings!G$96*$E$29+Embeddings!H$96*$E$30+Embeddings!I$96*$E$31</f>
        <v>0.239486519214794</v>
      </c>
      <c r="F77" s="9" t="n">
        <f aca="false">Embeddings!B$96*$F$24+Embeddings!C$96*$F$25+Embeddings!D$96*$F$26+Embeddings!E$96*$F$27+Embeddings!F$96*$F$28+Embeddings!G$96*$F$29+Embeddings!H$96*$F$30+Embeddings!I$96*$F$31</f>
        <v>-0.0794616757372828</v>
      </c>
      <c r="G77" s="9" t="n">
        <f aca="false">Embeddings!B$96*$G$24+Embeddings!C$96*$G$25+Embeddings!D$96*$G$26+Embeddings!E$96*$G$27+Embeddings!F$96*$G$28+Embeddings!G$96*$G$29+Embeddings!H$96*$G$30+Embeddings!I$96*$G$31</f>
        <v>-0.151506455613096</v>
      </c>
      <c r="H77" s="9" t="n">
        <f aca="false">Embeddings!B$96*$H$24+Embeddings!C$96*$H$25+Embeddings!D$96*$H$26+Embeddings!E$96*$H$27+Embeddings!F$96*$H$28+Embeddings!G$96*$H$29+Embeddings!H$96*$H$30+Embeddings!I$96*$H$31</f>
        <v>0.123769688835103</v>
      </c>
      <c r="I77" s="9" t="n">
        <f aca="false">Embeddings!B$96*$I$24+Embeddings!C$96*$I$25+Embeddings!D$96*$I$26+Embeddings!E$96*$I$27+Embeddings!F$96*$I$28+Embeddings!G$96*$I$29+Embeddings!H$96*$I$30+Embeddings!I$96*$I$31</f>
        <v>0.415514323143041</v>
      </c>
    </row>
    <row r="78" customFormat="false" ht="15" hidden="false" customHeight="false" outlineLevel="0" collapsed="false">
      <c r="A78" s="0" t="n">
        <v>7</v>
      </c>
      <c r="B78" s="9" t="n">
        <f aca="false">Embeddings!B$97*$B$24+Embeddings!C$97*$B$25+Embeddings!D$97*$B$26+Embeddings!E$97*$B$27+Embeddings!F$97*$B$28+Embeddings!G$97*$B$29+Embeddings!H$97*$B$30+Embeddings!I$97*$B$31</f>
        <v>-0.382167818462505</v>
      </c>
      <c r="C78" s="9" t="n">
        <f aca="false">Embeddings!B$97*$C$24+Embeddings!C$97*$C$25+Embeddings!D$97*$C$26+Embeddings!E$97*$C$27+Embeddings!F$97*$C$28+Embeddings!G$97*$C$29+Embeddings!H$97*$C$30+Embeddings!I$97*$C$31</f>
        <v>-0.440737287159656</v>
      </c>
      <c r="D78" s="9" t="n">
        <f aca="false">Embeddings!B$97*$D$24+Embeddings!C$97*$D$25+Embeddings!D$97*$D$26+Embeddings!E$97*$D$27+Embeddings!F$97*$D$28+Embeddings!G$97*$D$29+Embeddings!H$97*$D$30+Embeddings!I$97*$D$31</f>
        <v>-0.408110395433587</v>
      </c>
      <c r="E78" s="9" t="n">
        <f aca="false">Embeddings!B$97*$E$24+Embeddings!C$97*$E$25+Embeddings!D$97*$E$26+Embeddings!E$97*$E$27+Embeddings!F$97*$E$28+Embeddings!G$97*$E$29+Embeddings!H$97*$E$30+Embeddings!I$97*$E$31</f>
        <v>-0.0434574721598578</v>
      </c>
      <c r="F78" s="9" t="n">
        <f aca="false">Embeddings!B$97*$F$24+Embeddings!C$97*$F$25+Embeddings!D$97*$F$26+Embeddings!E$97*$F$27+Embeddings!F$97*$F$28+Embeddings!G$97*$F$29+Embeddings!H$97*$F$30+Embeddings!I$97*$F$31</f>
        <v>-0.3146989472978</v>
      </c>
      <c r="G78" s="9" t="n">
        <f aca="false">Embeddings!B$97*$G$24+Embeddings!C$97*$G$25+Embeddings!D$97*$G$26+Embeddings!E$97*$G$27+Embeddings!F$97*$G$28+Embeddings!G$97*$G$29+Embeddings!H$97*$G$30+Embeddings!I$97*$G$31</f>
        <v>0.0874196772916727</v>
      </c>
      <c r="H78" s="9" t="n">
        <f aca="false">Embeddings!B$97*$H$24+Embeddings!C$97*$H$25+Embeddings!D$97*$H$26+Embeddings!E$97*$H$27+Embeddings!F$97*$H$28+Embeddings!G$97*$H$29+Embeddings!H$97*$H$30+Embeddings!I$97*$H$31</f>
        <v>-0.162438119734719</v>
      </c>
      <c r="I78" s="9" t="n">
        <f aca="false">Embeddings!B$97*$I$24+Embeddings!C$97*$I$25+Embeddings!D$97*$I$26+Embeddings!E$97*$I$27+Embeddings!F$97*$I$28+Embeddings!G$97*$I$29+Embeddings!H$97*$I$30+Embeddings!I$97*$I$31</f>
        <v>0.00856544380941714</v>
      </c>
    </row>
    <row r="81" customFormat="false" ht="15" hidden="false" customHeight="false" outlineLevel="0" collapsed="false">
      <c r="A81" s="1" t="s">
        <v>263</v>
      </c>
    </row>
    <row r="83" customFormat="false" ht="15" hidden="false" customHeight="false" outlineLevel="0" collapsed="false">
      <c r="A83" s="2" t="s">
        <v>264</v>
      </c>
    </row>
    <row r="84" customFormat="false" ht="15" hidden="false" customHeight="false" outlineLevel="0" collapsed="false">
      <c r="B84" s="2" t="s">
        <v>246</v>
      </c>
      <c r="C84" s="2" t="s">
        <v>247</v>
      </c>
      <c r="D84" s="2" t="s">
        <v>248</v>
      </c>
      <c r="E84" s="2" t="s">
        <v>249</v>
      </c>
      <c r="F84" s="2" t="s">
        <v>250</v>
      </c>
      <c r="G84" s="2" t="s">
        <v>251</v>
      </c>
      <c r="H84" s="2" t="s">
        <v>252</v>
      </c>
      <c r="I84" s="2" t="s">
        <v>253</v>
      </c>
    </row>
    <row r="85" customFormat="false" ht="15" hidden="false" customHeight="false" outlineLevel="0" collapsed="false">
      <c r="A85" s="0" t="s">
        <v>237</v>
      </c>
      <c r="B85" s="9" t="n">
        <f aca="false">(B48*B60+C48*C60+D48*D60+E48*E60)/SQRT(4)</f>
        <v>0.121858172391022</v>
      </c>
      <c r="C85" s="9" t="n">
        <f aca="false">(B48*B61+C48*C61+D48*D61+E48*E61)/SQRT(4)</f>
        <v>-0.0325898107196384</v>
      </c>
      <c r="D85" s="9" t="n">
        <f aca="false">(B48*B62+C48*C62+D48*D62+E48*E62)/SQRT(4)</f>
        <v>-0.0422380678927652</v>
      </c>
      <c r="E85" s="9" t="n">
        <f aca="false">(B48*B63+C48*C63+D48*D63+E48*E63)/SQRT(4)</f>
        <v>0.108628114509938</v>
      </c>
      <c r="F85" s="9" t="n">
        <f aca="false">(B48*B64+C48*C64+D48*D64+E48*E64)/SQRT(4)</f>
        <v>0.0300549652755661</v>
      </c>
      <c r="G85" s="9" t="n">
        <f aca="false">(B48*B65+C48*C65+D48*D65+E48*E65)/SQRT(4)</f>
        <v>0.101611059890514</v>
      </c>
      <c r="H85" s="9" t="n">
        <f aca="false">(B48*B66+C48*C66+D48*D66+E48*E66)/SQRT(4)</f>
        <v>-0.00103910299878395</v>
      </c>
      <c r="I85" s="9" t="n">
        <f aca="false">(B48*B67+C48*C67+D48*D67+E48*E67)/SQRT(4)</f>
        <v>0.0980655740708724</v>
      </c>
    </row>
    <row r="86" customFormat="false" ht="15" hidden="false" customHeight="false" outlineLevel="0" collapsed="false">
      <c r="A86" s="0" t="s">
        <v>238</v>
      </c>
      <c r="B86" s="9" t="n">
        <f aca="false">(B49*B60+C49*C60+D49*D60+E49*E60)/SQRT(4)</f>
        <v>0.0905152150566171</v>
      </c>
      <c r="C86" s="9" t="n">
        <f aca="false">(B49*B61+C49*C61+D49*D61+E49*E61)/SQRT(4)</f>
        <v>0.0389484958523922</v>
      </c>
      <c r="D86" s="9" t="n">
        <f aca="false">(B49*B62+C49*C62+D49*D62+E49*E62)/SQRT(4)</f>
        <v>0.0690538627586651</v>
      </c>
      <c r="E86" s="9" t="n">
        <f aca="false">(B49*B63+C49*C63+D49*D63+E49*E63)/SQRT(4)</f>
        <v>0.0355456837371301</v>
      </c>
      <c r="F86" s="9" t="n">
        <f aca="false">(B49*B64+C49*C64+D49*D64+E49*E64)/SQRT(4)</f>
        <v>0.0584422935771632</v>
      </c>
      <c r="G86" s="9" t="n">
        <f aca="false">(B49*B65+C49*C65+D49*D65+E49*E65)/SQRT(4)</f>
        <v>0.161812950126166</v>
      </c>
      <c r="H86" s="9" t="n">
        <f aca="false">(B49*B66+C49*C66+D49*D66+E49*E66)/SQRT(4)</f>
        <v>-0.0140435910989581</v>
      </c>
      <c r="I86" s="9" t="n">
        <f aca="false">(B49*B67+C49*C67+D49*D67+E49*E67)/SQRT(4)</f>
        <v>0.0186456569420242</v>
      </c>
    </row>
    <row r="87" customFormat="false" ht="15" hidden="false" customHeight="false" outlineLevel="0" collapsed="false">
      <c r="A87" s="0" t="s">
        <v>239</v>
      </c>
      <c r="B87" s="9" t="n">
        <f aca="false">(B50*B60+C50*C60+D50*D60+E50*E60)/SQRT(4)</f>
        <v>0.0931900386223833</v>
      </c>
      <c r="C87" s="9" t="n">
        <f aca="false">(B50*B61+C50*C61+D50*D61+E50*E61)/SQRT(4)</f>
        <v>0.00596713448227345</v>
      </c>
      <c r="D87" s="9" t="n">
        <f aca="false">(B50*B62+C50*C62+D50*D62+E50*E62)/SQRT(4)</f>
        <v>-0.0590903278221914</v>
      </c>
      <c r="E87" s="9" t="n">
        <f aca="false">(B50*B63+C50*C63+D50*D63+E50*E63)/SQRT(4)</f>
        <v>0.141916587304744</v>
      </c>
      <c r="F87" s="9" t="n">
        <f aca="false">(B50*B64+C50*C64+D50*D64+E50*E64)/SQRT(4)</f>
        <v>0.0106795121454483</v>
      </c>
      <c r="G87" s="9" t="n">
        <f aca="false">(B50*B65+C50*C65+D50*D65+E50*E65)/SQRT(4)</f>
        <v>-0.07454142190871</v>
      </c>
      <c r="H87" s="9" t="n">
        <f aca="false">(B50*B66+C50*C66+D50*D66+E50*E66)/SQRT(4)</f>
        <v>0.0387260704675932</v>
      </c>
      <c r="I87" s="9" t="n">
        <f aca="false">(B50*B67+C50*C67+D50*D67+E50*E67)/SQRT(4)</f>
        <v>0.152857460371616</v>
      </c>
    </row>
    <row r="88" customFormat="false" ht="15" hidden="false" customHeight="false" outlineLevel="0" collapsed="false">
      <c r="A88" s="0" t="s">
        <v>240</v>
      </c>
      <c r="B88" s="9" t="n">
        <f aca="false">(B51*B60+C51*C60+D51*D60+E51*E60)/SQRT(4)</f>
        <v>0.0635618566740621</v>
      </c>
      <c r="C88" s="9" t="n">
        <f aca="false">(B51*B61+C51*C61+D51*D61+E51*E61)/SQRT(4)</f>
        <v>0.0117057172390714</v>
      </c>
      <c r="D88" s="9" t="n">
        <f aca="false">(B51*B62+C51*C62+D51*D62+E51*E62)/SQRT(4)</f>
        <v>-0.0322544067429921</v>
      </c>
      <c r="E88" s="9" t="n">
        <f aca="false">(B51*B63+C51*C63+D51*D63+E51*E63)/SQRT(4)</f>
        <v>0.122592338005499</v>
      </c>
      <c r="F88" s="9" t="n">
        <f aca="false">(B51*B64+C51*C64+D51*D64+E51*E64)/SQRT(4)</f>
        <v>0.0181475848017764</v>
      </c>
      <c r="G88" s="9" t="n">
        <f aca="false">(B51*B65+C51*C65+D51*D65+E51*E65)/SQRT(4)</f>
        <v>-0.0619734404081296</v>
      </c>
      <c r="H88" s="9" t="n">
        <f aca="false">(B51*B66+C51*C66+D51*D66+E51*E66)/SQRT(4)</f>
        <v>0.0372818034011769</v>
      </c>
      <c r="I88" s="9" t="n">
        <f aca="false">(B51*B67+C51*C67+D51*D67+E51*E67)/SQRT(4)</f>
        <v>0.1233656589479</v>
      </c>
    </row>
    <row r="89" customFormat="false" ht="15" hidden="false" customHeight="false" outlineLevel="0" collapsed="false">
      <c r="A89" s="0" t="s">
        <v>241</v>
      </c>
      <c r="B89" s="9" t="n">
        <f aca="false">(B52*B60+C52*C60+D52*D60+E52*E60)/SQRT(4)</f>
        <v>-0.0415082399177176</v>
      </c>
      <c r="C89" s="9" t="n">
        <f aca="false">(B52*B61+C52*C61+D52*D61+E52*E61)/SQRT(4)</f>
        <v>0.0607554766819108</v>
      </c>
      <c r="D89" s="9" t="n">
        <f aca="false">(B52*B62+C52*C62+D52*D62+E52*E62)/SQRT(4)</f>
        <v>0.0818416293951211</v>
      </c>
      <c r="E89" s="9" t="n">
        <f aca="false">(B52*B63+C52*C63+D52*D63+E52*E63)/SQRT(4)</f>
        <v>-0.113487979186135</v>
      </c>
      <c r="F89" s="9" t="n">
        <f aca="false">(B52*B64+C52*C64+D52*D64+E52*E64)/SQRT(4)</f>
        <v>-0.00245097652978703</v>
      </c>
      <c r="G89" s="9" t="n">
        <f aca="false">(B52*B65+C52*C65+D52*D65+E52*E65)/SQRT(4)</f>
        <v>0.0257474730760143</v>
      </c>
      <c r="H89" s="9" t="n">
        <f aca="false">(B52*B66+C52*C66+D52*D66+E52*E66)/SQRT(4)</f>
        <v>-0.0228968208315209</v>
      </c>
      <c r="I89" s="9" t="n">
        <f aca="false">(B52*B67+C52*C67+D52*D67+E52*E67)/SQRT(4)</f>
        <v>-0.0998711274257653</v>
      </c>
    </row>
    <row r="90" customFormat="false" ht="15" hidden="false" customHeight="false" outlineLevel="0" collapsed="false">
      <c r="A90" s="0" t="s">
        <v>242</v>
      </c>
      <c r="B90" s="9" t="n">
        <f aca="false">(B53*B60+C53*C60+D53*D60+E53*E60)/SQRT(4)</f>
        <v>-0.0963150970104637</v>
      </c>
      <c r="C90" s="9" t="n">
        <f aca="false">(B53*B61+C53*C61+D53*D61+E53*E61)/SQRT(4)</f>
        <v>-0.0128052792253621</v>
      </c>
      <c r="D90" s="9" t="n">
        <f aca="false">(B53*B62+C53*C62+D53*D62+E53*E62)/SQRT(4)</f>
        <v>-0.0969483439920305</v>
      </c>
      <c r="E90" s="9" t="n">
        <f aca="false">(B53*B63+C53*C63+D53*D63+E53*E63)/SQRT(4)</f>
        <v>-0.062392640388009</v>
      </c>
      <c r="F90" s="9" t="n">
        <f aca="false">(B53*B64+C53*C64+D53*D64+E53*E64)/SQRT(4)</f>
        <v>-0.0964872836973251</v>
      </c>
      <c r="G90" s="9" t="n">
        <f aca="false">(B53*B65+C53*C65+D53*D65+E53*E65)/SQRT(4)</f>
        <v>-0.277817968489549</v>
      </c>
      <c r="H90" s="9" t="n">
        <f aca="false">(B53*B66+C53*C66+D53*D66+E53*E66)/SQRT(4)</f>
        <v>0.0218961323239859</v>
      </c>
      <c r="I90" s="9" t="n">
        <f aca="false">(B53*B67+C53*C67+D53*D67+E53*E67)/SQRT(4)</f>
        <v>-0.00738956202309015</v>
      </c>
    </row>
    <row r="91" customFormat="false" ht="15" hidden="false" customHeight="false" outlineLevel="0" collapsed="false">
      <c r="A91" s="0" t="s">
        <v>243</v>
      </c>
      <c r="B91" s="9" t="n">
        <f aca="false">(B54*B60+C54*C60+D54*D60+E54*E60)/SQRT(4)</f>
        <v>0.108634857085932</v>
      </c>
      <c r="C91" s="9" t="n">
        <f aca="false">(B54*B61+C54*C61+D54*D61+E54*E61)/SQRT(4)</f>
        <v>0.00539447004358251</v>
      </c>
      <c r="D91" s="9" t="n">
        <f aca="false">(B54*B62+C54*C62+D54*D62+E54*E62)/SQRT(4)</f>
        <v>0.0383892083301314</v>
      </c>
      <c r="E91" s="9" t="n">
        <f aca="false">(B54*B63+C54*C63+D54*D63+E54*E63)/SQRT(4)</f>
        <v>0.0564541466962663</v>
      </c>
      <c r="F91" s="9" t="n">
        <f aca="false">(B54*B64+C54*C64+D54*D64+E54*E64)/SQRT(4)</f>
        <v>0.0569738933733352</v>
      </c>
      <c r="G91" s="9" t="n">
        <f aca="false">(B54*B65+C54*C65+D54*D65+E54*E65)/SQRT(4)</f>
        <v>0.189312976628716</v>
      </c>
      <c r="H91" s="9" t="n">
        <f aca="false">(B54*B66+C54*C66+D54*D66+E54*E66)/SQRT(4)</f>
        <v>-0.0184892304847922</v>
      </c>
      <c r="I91" s="9" t="n">
        <f aca="false">(B54*B67+C54*C67+D54*D67+E54*E67)/SQRT(4)</f>
        <v>0.0337686264555253</v>
      </c>
    </row>
    <row r="92" customFormat="false" ht="15" hidden="false" customHeight="false" outlineLevel="0" collapsed="false">
      <c r="A92" s="0" t="s">
        <v>244</v>
      </c>
      <c r="B92" s="9" t="n">
        <f aca="false">(B55*B60+C55*C60+D55*D60+E55*E60)/SQRT(4)</f>
        <v>0.0534332070224941</v>
      </c>
      <c r="C92" s="9" t="n">
        <f aca="false">(B55*B61+C55*C61+D55*D61+E55*E61)/SQRT(4)</f>
        <v>0.00120914767156466</v>
      </c>
      <c r="D92" s="9" t="n">
        <f aca="false">(B55*B62+C55*C62+D55*D62+E55*E62)/SQRT(4)</f>
        <v>-0.0469191357175886</v>
      </c>
      <c r="E92" s="9" t="n">
        <f aca="false">(B55*B63+C55*C63+D55*D63+E55*E63)/SQRT(4)</f>
        <v>0.108585004380056</v>
      </c>
      <c r="F92" s="9" t="n">
        <f aca="false">(B55*B64+C55*C64+D55*D64+E55*E64)/SQRT(4)</f>
        <v>0.00577058744490059</v>
      </c>
      <c r="G92" s="9" t="n">
        <f aca="false">(B55*B65+C55*C65+D55*D65+E55*E65)/SQRT(4)</f>
        <v>-0.0765366762116931</v>
      </c>
      <c r="H92" s="9" t="n">
        <f aca="false">(B55*B66+C55*C66+D55*D66+E55*E66)/SQRT(4)</f>
        <v>0.0341931744745127</v>
      </c>
      <c r="I92" s="9" t="n">
        <f aca="false">(B55*B67+C55*C67+D55*D67+E55*E67)/SQRT(4)</f>
        <v>0.114167017395642</v>
      </c>
    </row>
    <row r="95" customFormat="false" ht="15" hidden="false" customHeight="false" outlineLevel="0" collapsed="false">
      <c r="A95" s="2" t="s">
        <v>265</v>
      </c>
    </row>
    <row r="96" customFormat="false" ht="15" hidden="false" customHeight="false" outlineLevel="0" collapsed="false">
      <c r="B96" s="2" t="s">
        <v>246</v>
      </c>
      <c r="C96" s="2" t="s">
        <v>247</v>
      </c>
      <c r="D96" s="2" t="s">
        <v>248</v>
      </c>
      <c r="E96" s="2" t="s">
        <v>249</v>
      </c>
      <c r="F96" s="2" t="s">
        <v>250</v>
      </c>
      <c r="G96" s="2" t="s">
        <v>251</v>
      </c>
      <c r="H96" s="2" t="s">
        <v>252</v>
      </c>
      <c r="I96" s="2" t="s">
        <v>253</v>
      </c>
    </row>
    <row r="97" customFormat="false" ht="15" hidden="false" customHeight="false" outlineLevel="0" collapsed="false">
      <c r="A97" s="0" t="s">
        <v>237</v>
      </c>
      <c r="B97" s="9" t="n">
        <f aca="false">(F48*F60+G48*G60+H48*H60+I48*I60)/SQRT(4)</f>
        <v>0.013945494083649</v>
      </c>
      <c r="C97" s="9" t="n">
        <f aca="false">(F48*F61+G48*G61+H48*H61+I48*I61)/SQRT(4)</f>
        <v>-0.0923390618173544</v>
      </c>
      <c r="D97" s="9" t="n">
        <f aca="false">(F48*F62+G48*G62+H48*H62+I48*I62)/SQRT(4)</f>
        <v>-0.0578679114866239</v>
      </c>
      <c r="E97" s="9" t="n">
        <f aca="false">(F48*F63+G48*G63+H48*H63+I48*I63)/SQRT(4)</f>
        <v>-0.031847735466816</v>
      </c>
      <c r="F97" s="9" t="n">
        <f aca="false">(F48*F64+G48*G64+H48*H64+I48*I64)/SQRT(4)</f>
        <v>-0.13584357503356</v>
      </c>
      <c r="G97" s="9" t="n">
        <f aca="false">(F48*F65+G48*G65+H48*H65+I48*I65)/SQRT(4)</f>
        <v>-0.0665040222346621</v>
      </c>
      <c r="H97" s="9" t="n">
        <f aca="false">(F48*F66+G48*G66+H48*H66+I48*I66)/SQRT(4)</f>
        <v>-0.00999652883707732</v>
      </c>
      <c r="I97" s="9" t="n">
        <f aca="false">(F48*F67+G48*G67+H48*H67+I48*I67)/SQRT(4)</f>
        <v>0.0140389740166741</v>
      </c>
    </row>
    <row r="98" customFormat="false" ht="15" hidden="false" customHeight="false" outlineLevel="0" collapsed="false">
      <c r="A98" s="0" t="s">
        <v>238</v>
      </c>
      <c r="B98" s="9" t="n">
        <f aca="false">(F49*F60+G49*G60+H49*H60+I49*I60)/SQRT(4)</f>
        <v>-0.0219445336563977</v>
      </c>
      <c r="C98" s="9" t="n">
        <f aca="false">(F49*F61+G49*G61+H49*H61+I49*I61)/SQRT(4)</f>
        <v>0.0848619188820632</v>
      </c>
      <c r="D98" s="9" t="n">
        <f aca="false">(F49*F62+G49*G62+H49*H62+I49*I62)/SQRT(4)</f>
        <v>-0.0371963967812571</v>
      </c>
      <c r="E98" s="9" t="n">
        <f aca="false">(F49*F63+G49*G63+H49*H63+I49*I63)/SQRT(4)</f>
        <v>-0.0215810202413573</v>
      </c>
      <c r="F98" s="9" t="n">
        <f aca="false">(F49*F64+G49*G64+H49*H64+I49*I64)/SQRT(4)</f>
        <v>0.0751014987959812</v>
      </c>
      <c r="G98" s="9" t="n">
        <f aca="false">(F49*F65+G49*G65+H49*H65+I49*I65)/SQRT(4)</f>
        <v>-0.0765339266777335</v>
      </c>
      <c r="H98" s="9" t="n">
        <f aca="false">(F49*F66+G49*G66+H49*H66+I49*I66)/SQRT(4)</f>
        <v>-0.0138450391765057</v>
      </c>
      <c r="I98" s="9" t="n">
        <f aca="false">(F49*F67+G49*G67+H49*H67+I49*I67)/SQRT(4)</f>
        <v>0.0350411754912655</v>
      </c>
    </row>
    <row r="99" customFormat="false" ht="15" hidden="false" customHeight="false" outlineLevel="0" collapsed="false">
      <c r="A99" s="0" t="s">
        <v>239</v>
      </c>
      <c r="B99" s="9" t="n">
        <f aca="false">(F50*F60+G50*G60+H50*H60+I50*I60)/SQRT(4)</f>
        <v>0.0960715111619741</v>
      </c>
      <c r="C99" s="9" t="n">
        <f aca="false">(F50*F61+G50*G61+H50*H61+I50*I61)/SQRT(4)</f>
        <v>-0.177437923196738</v>
      </c>
      <c r="D99" s="9" t="n">
        <f aca="false">(F50*F62+G50*G62+H50*H62+I50*I62)/SQRT(4)</f>
        <v>0.0512981966074552</v>
      </c>
      <c r="E99" s="9" t="n">
        <f aca="false">(F50*F63+G50*G63+H50*H63+I50*I63)/SQRT(4)</f>
        <v>0.130233228212735</v>
      </c>
      <c r="F99" s="9" t="n">
        <f aca="false">(F50*F64+G50*G64+H50*H64+I50*I64)/SQRT(4)</f>
        <v>-0.0915173370669585</v>
      </c>
      <c r="G99" s="9" t="n">
        <f aca="false">(F50*F65+G50*G65+H50*H65+I50*I65)/SQRT(4)</f>
        <v>0.219511468375691</v>
      </c>
      <c r="H99" s="9" t="n">
        <f aca="false">(F50*F66+G50*G66+H50*H66+I50*I66)/SQRT(4)</f>
        <v>-0.014920496711785</v>
      </c>
      <c r="I99" s="9" t="n">
        <f aca="false">(F50*F67+G50*G67+H50*H67+I50*I67)/SQRT(4)</f>
        <v>0.0922452060882477</v>
      </c>
    </row>
    <row r="100" customFormat="false" ht="15" hidden="false" customHeight="false" outlineLevel="0" collapsed="false">
      <c r="A100" s="0" t="s">
        <v>240</v>
      </c>
      <c r="B100" s="9" t="n">
        <f aca="false">(F51*F60+G51*G60+H51*H60+I51*I60)/SQRT(4)</f>
        <v>0.0663375554852659</v>
      </c>
      <c r="C100" s="9" t="n">
        <f aca="false">(F51*F61+G51*G61+H51*H61+I51*I61)/SQRT(4)</f>
        <v>-0.0686686948882371</v>
      </c>
      <c r="D100" s="9" t="n">
        <f aca="false">(F51*F62+G51*G62+H51*H62+I51*I62)/SQRT(4)</f>
        <v>0.0586524171196894</v>
      </c>
      <c r="E100" s="9" t="n">
        <f aca="false">(F51*F63+G51*G63+H51*H63+I51*I63)/SQRT(4)</f>
        <v>0.00666632769375168</v>
      </c>
      <c r="F100" s="9" t="n">
        <f aca="false">(F51*F64+G51*G64+H51*H64+I51*I64)/SQRT(4)</f>
        <v>-0.0878289737291408</v>
      </c>
      <c r="G100" s="9" t="n">
        <f aca="false">(F51*F65+G51*G65+H51*H65+I51*I65)/SQRT(4)</f>
        <v>0.0347064238974214</v>
      </c>
      <c r="H100" s="9" t="n">
        <f aca="false">(F51*F66+G51*G66+H51*H66+I51*I66)/SQRT(4)</f>
        <v>0.0938825507093626</v>
      </c>
      <c r="I100" s="9" t="n">
        <f aca="false">(F51*F67+G51*G67+H51*H67+I51*I67)/SQRT(4)</f>
        <v>-0.0392872145778585</v>
      </c>
    </row>
    <row r="101" customFormat="false" ht="15" hidden="false" customHeight="false" outlineLevel="0" collapsed="false">
      <c r="A101" s="0" t="s">
        <v>241</v>
      </c>
      <c r="B101" s="9" t="n">
        <f aca="false">(F52*F60+G52*G60+H52*H60+I52*I60)/SQRT(4)</f>
        <v>-0.0493949099046826</v>
      </c>
      <c r="C101" s="9" t="n">
        <f aca="false">(F52*F61+G52*G61+H52*H61+I52*I61)/SQRT(4)</f>
        <v>0.216442222414061</v>
      </c>
      <c r="D101" s="9" t="n">
        <f aca="false">(F52*F62+G52*G62+H52*H62+I52*I62)/SQRT(4)</f>
        <v>-0.0577781455264103</v>
      </c>
      <c r="E101" s="9" t="n">
        <f aca="false">(F52*F63+G52*G63+H52*H63+I52*I63)/SQRT(4)</f>
        <v>-0.119704059872026</v>
      </c>
      <c r="F101" s="9" t="n">
        <f aca="false">(F52*F64+G52*G64+H52*H64+I52*I64)/SQRT(4)</f>
        <v>0.126416495698014</v>
      </c>
      <c r="G101" s="9" t="n">
        <f aca="false">(F52*F65+G52*G65+H52*H65+I52*I65)/SQRT(4)</f>
        <v>-0.259284210407559</v>
      </c>
      <c r="H101" s="9" t="n">
        <f aca="false">(F52*F66+G52*G66+H52*H66+I52*I66)/SQRT(4)</f>
        <v>0.0583687615560375</v>
      </c>
      <c r="I101" s="9" t="n">
        <f aca="false">(F52*F67+G52*G67+H52*H67+I52*I67)/SQRT(4)</f>
        <v>-0.0238355189040903</v>
      </c>
    </row>
    <row r="102" customFormat="false" ht="15" hidden="false" customHeight="false" outlineLevel="0" collapsed="false">
      <c r="A102" s="0" t="s">
        <v>242</v>
      </c>
      <c r="B102" s="9" t="n">
        <f aca="false">(F53*F60+G53*G60+H53*H60+I53*I60)/SQRT(4)</f>
        <v>0.0282454287601856</v>
      </c>
      <c r="C102" s="9" t="n">
        <f aca="false">(F53*F61+G53*G61+H53*H61+I53*I61)/SQRT(4)</f>
        <v>-0.088467069685262</v>
      </c>
      <c r="D102" s="9" t="n">
        <f aca="false">(F53*F62+G53*G62+H53*H62+I53*I62)/SQRT(4)</f>
        <v>-0.0267016868322287</v>
      </c>
      <c r="E102" s="9" t="n">
        <f aca="false">(F53*F63+G53*G63+H53*H63+I53*I63)/SQRT(4)</f>
        <v>-0.00125343535162506</v>
      </c>
      <c r="F102" s="9" t="n">
        <f aca="false">(F53*F64+G53*G64+H53*H64+I53*I64)/SQRT(4)</f>
        <v>-0.105645554194192</v>
      </c>
      <c r="G102" s="9" t="n">
        <f aca="false">(F53*F65+G53*G65+H53*H65+I53*I65)/SQRT(4)</f>
        <v>-0.0105906712791021</v>
      </c>
      <c r="H102" s="9" t="n">
        <f aca="false">(F53*F66+G53*G66+H53*H66+I53*I66)/SQRT(4)</f>
        <v>-0.00158059623614548</v>
      </c>
      <c r="I102" s="9" t="n">
        <f aca="false">(F53*F67+G53*G67+H53*H67+I53*I67)/SQRT(4)</f>
        <v>0.0218247690733001</v>
      </c>
    </row>
    <row r="103" customFormat="false" ht="15" hidden="false" customHeight="false" outlineLevel="0" collapsed="false">
      <c r="A103" s="0" t="s">
        <v>243</v>
      </c>
      <c r="B103" s="9" t="n">
        <f aca="false">(F54*F60+G54*G60+H54*H60+I54*I60)/SQRT(4)</f>
        <v>0.0146068302949705</v>
      </c>
      <c r="C103" s="9" t="n">
        <f aca="false">(F54*F61+G54*G61+H54*H61+I54*I61)/SQRT(4)</f>
        <v>0.0428872969352207</v>
      </c>
      <c r="D103" s="9" t="n">
        <f aca="false">(F54*F62+G54*G62+H54*H62+I54*I62)/SQRT(4)</f>
        <v>-0.0297911705264517</v>
      </c>
      <c r="E103" s="9" t="n">
        <f aca="false">(F54*F63+G54*G63+H54*H63+I54*I63)/SQRT(4)</f>
        <v>-0.0474031389600247</v>
      </c>
      <c r="F103" s="9" t="n">
        <f aca="false">(F54*F64+G54*G64+H54*H64+I54*I64)/SQRT(4)</f>
        <v>-0.00757344882647787</v>
      </c>
      <c r="G103" s="9" t="n">
        <f aca="false">(F54*F65+G54*G65+H54*H65+I54*I65)/SQRT(4)</f>
        <v>-0.117068266770821</v>
      </c>
      <c r="H103" s="9" t="n">
        <f aca="false">(F54*F66+G54*G66+H54*H66+I54*I66)/SQRT(4)</f>
        <v>0.0482417631944949</v>
      </c>
      <c r="I103" s="9" t="n">
        <f aca="false">(F54*F67+G54*G67+H54*H67+I54*I67)/SQRT(4)</f>
        <v>0.00973716651319811</v>
      </c>
    </row>
    <row r="104" customFormat="false" ht="15" hidden="false" customHeight="false" outlineLevel="0" collapsed="false">
      <c r="A104" s="0" t="s">
        <v>244</v>
      </c>
      <c r="B104" s="9" t="n">
        <f aca="false">(F55*F60+G55*G60+H55*H60+I55*I60)/SQRT(4)</f>
        <v>0.0453499174958628</v>
      </c>
      <c r="C104" s="9" t="n">
        <f aca="false">(F55*F61+G55*G61+H55*H61+I55*I61)/SQRT(4)</f>
        <v>-0.102024739267112</v>
      </c>
      <c r="D104" s="9" t="n">
        <f aca="false">(F55*F62+G55*G62+H55*H62+I55*I62)/SQRT(4)</f>
        <v>0.0418873660393998</v>
      </c>
      <c r="E104" s="9" t="n">
        <f aca="false">(F55*F63+G55*G63+H55*H63+I55*I63)/SQRT(4)</f>
        <v>0.0366567041982391</v>
      </c>
      <c r="F104" s="9" t="n">
        <f aca="false">(F55*F64+G55*G64+H55*H64+I55*I64)/SQRT(4)</f>
        <v>-0.0865215919102701</v>
      </c>
      <c r="G104" s="9" t="n">
        <f aca="false">(F55*F65+G55*G65+H55*H65+I55*I65)/SQRT(4)</f>
        <v>0.0906345944246116</v>
      </c>
      <c r="H104" s="9" t="n">
        <f aca="false">(F55*F66+G55*G66+H55*H66+I55*I66)/SQRT(4)</f>
        <v>0.0252838990368249</v>
      </c>
      <c r="I104" s="9" t="n">
        <f aca="false">(F55*F67+G55*G67+H55*H67+I55*I67)/SQRT(4)</f>
        <v>-0.0124324968763797</v>
      </c>
    </row>
    <row r="107" customFormat="false" ht="15" hidden="false" customHeight="false" outlineLevel="0" collapsed="false">
      <c r="A107" s="2" t="s">
        <v>266</v>
      </c>
    </row>
    <row r="108" customFormat="false" ht="15" hidden="false" customHeight="false" outlineLevel="0" collapsed="false">
      <c r="B108" s="2" t="n">
        <v>0</v>
      </c>
      <c r="C108" s="2" t="n">
        <v>1</v>
      </c>
      <c r="D108" s="2" t="n">
        <v>2</v>
      </c>
      <c r="E108" s="2" t="n">
        <v>3</v>
      </c>
      <c r="F108" s="2" t="n">
        <v>4</v>
      </c>
      <c r="G108" s="2" t="n">
        <v>5</v>
      </c>
      <c r="H108" s="2" t="n">
        <v>6</v>
      </c>
      <c r="I108" s="2" t="n">
        <v>7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13" t="n">
        <v>-1000</v>
      </c>
      <c r="D109" s="13" t="n">
        <v>-1000</v>
      </c>
      <c r="E109" s="13" t="n">
        <v>-1000</v>
      </c>
      <c r="F109" s="13" t="n">
        <v>-1000</v>
      </c>
      <c r="G109" s="13" t="n">
        <v>-1000</v>
      </c>
      <c r="H109" s="13" t="n">
        <v>-1000</v>
      </c>
      <c r="I109" s="13" t="n">
        <v>-1000</v>
      </c>
    </row>
    <row r="110" customFormat="false" ht="15" hidden="false" customHeight="false" outlineLevel="0" collapsed="false">
      <c r="A110" s="0" t="n">
        <v>1</v>
      </c>
      <c r="B110" s="0" t="n">
        <v>0</v>
      </c>
      <c r="C110" s="0" t="n">
        <v>0</v>
      </c>
      <c r="D110" s="13" t="n">
        <v>-1000</v>
      </c>
      <c r="E110" s="13" t="n">
        <v>-1000</v>
      </c>
      <c r="F110" s="13" t="n">
        <v>-1000</v>
      </c>
      <c r="G110" s="13" t="n">
        <v>-1000</v>
      </c>
      <c r="H110" s="13" t="n">
        <v>-1000</v>
      </c>
      <c r="I110" s="13" t="n">
        <v>-1000</v>
      </c>
    </row>
    <row r="111" customFormat="false" ht="15" hidden="false" customHeight="false" outlineLevel="0" collapsed="false">
      <c r="A111" s="0" t="n">
        <v>2</v>
      </c>
      <c r="B111" s="0" t="n">
        <v>0</v>
      </c>
      <c r="C111" s="0" t="n">
        <v>0</v>
      </c>
      <c r="D111" s="0" t="n">
        <v>0</v>
      </c>
      <c r="E111" s="13" t="n">
        <v>-1000</v>
      </c>
      <c r="F111" s="13" t="n">
        <v>-1000</v>
      </c>
      <c r="G111" s="13" t="n">
        <v>-1000</v>
      </c>
      <c r="H111" s="13" t="n">
        <v>-1000</v>
      </c>
      <c r="I111" s="13" t="n">
        <v>-1000</v>
      </c>
    </row>
    <row r="112" customFormat="false" ht="15" hidden="false" customHeight="false" outlineLevel="0" collapsed="false">
      <c r="A112" s="0" t="n">
        <v>3</v>
      </c>
      <c r="B112" s="0" t="n">
        <v>0</v>
      </c>
      <c r="C112" s="0" t="n">
        <v>0</v>
      </c>
      <c r="D112" s="0" t="n">
        <v>0</v>
      </c>
      <c r="E112" s="0" t="n">
        <v>0</v>
      </c>
      <c r="F112" s="13" t="n">
        <v>-1000</v>
      </c>
      <c r="G112" s="13" t="n">
        <v>-1000</v>
      </c>
      <c r="H112" s="13" t="n">
        <v>-1000</v>
      </c>
      <c r="I112" s="13" t="n">
        <v>-1000</v>
      </c>
    </row>
    <row r="113" customFormat="false" ht="15" hidden="false" customHeight="false" outlineLevel="0" collapsed="false">
      <c r="A113" s="0" t="n">
        <v>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13" t="n">
        <v>-1000</v>
      </c>
      <c r="H113" s="13" t="n">
        <v>-1000</v>
      </c>
      <c r="I113" s="13" t="n">
        <v>-1000</v>
      </c>
    </row>
    <row r="114" customFormat="false" ht="15" hidden="false" customHeight="false" outlineLevel="0" collapsed="false">
      <c r="A114" s="0" t="n">
        <v>5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13" t="n">
        <v>-1000</v>
      </c>
      <c r="I114" s="13" t="n">
        <v>-1000</v>
      </c>
    </row>
    <row r="115" customFormat="false" ht="15" hidden="false" customHeight="false" outlineLevel="0" collapsed="false">
      <c r="A115" s="0" t="n">
        <v>6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13" t="n">
        <v>-1000</v>
      </c>
    </row>
    <row r="116" customFormat="false" ht="15" hidden="false" customHeight="false" outlineLevel="0" collapsed="false">
      <c r="A116" s="0" t="n">
        <v>7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</row>
    <row r="119" customFormat="false" ht="15" hidden="false" customHeight="false" outlineLevel="0" collapsed="false">
      <c r="A119" s="2" t="s">
        <v>267</v>
      </c>
    </row>
    <row r="120" customFormat="false" ht="15" hidden="false" customHeight="false" outlineLevel="0" collapsed="false">
      <c r="B120" s="2" t="n">
        <v>0</v>
      </c>
      <c r="C120" s="2" t="n">
        <v>1</v>
      </c>
      <c r="D120" s="2" t="n">
        <v>2</v>
      </c>
      <c r="E120" s="2" t="n">
        <v>3</v>
      </c>
      <c r="F120" s="2" t="n">
        <v>4</v>
      </c>
      <c r="G120" s="2" t="n">
        <v>5</v>
      </c>
      <c r="H120" s="2" t="n">
        <v>6</v>
      </c>
      <c r="I120" s="2" t="n">
        <v>7</v>
      </c>
    </row>
    <row r="121" customFormat="false" ht="15" hidden="false" customHeight="false" outlineLevel="0" collapsed="false">
      <c r="A121" s="0" t="n">
        <v>0</v>
      </c>
      <c r="B121" s="0" t="n">
        <f aca="false">B85+B109</f>
        <v>0.121858172391022</v>
      </c>
      <c r="C121" s="0" t="n">
        <f aca="false">C85+C109</f>
        <v>-1000.03258981072</v>
      </c>
      <c r="D121" s="0" t="n">
        <f aca="false">D85+D109</f>
        <v>-1000.04223806789</v>
      </c>
      <c r="E121" s="0" t="n">
        <f aca="false">E85+E109</f>
        <v>-999.89137188549</v>
      </c>
      <c r="F121" s="0" t="n">
        <f aca="false">F85+F109</f>
        <v>-999.969945034724</v>
      </c>
      <c r="G121" s="0" t="n">
        <f aca="false">G85+G109</f>
        <v>-999.89838894011</v>
      </c>
      <c r="H121" s="0" t="n">
        <f aca="false">H85+H109</f>
        <v>-1000.001039103</v>
      </c>
      <c r="I121" s="0" t="n">
        <f aca="false">I85+I109</f>
        <v>-999.901934425929</v>
      </c>
    </row>
    <row r="122" customFormat="false" ht="15" hidden="false" customHeight="false" outlineLevel="0" collapsed="false">
      <c r="A122" s="0" t="n">
        <v>1</v>
      </c>
      <c r="B122" s="0" t="n">
        <f aca="false">B86+B110</f>
        <v>0.0905152150566171</v>
      </c>
      <c r="C122" s="0" t="n">
        <f aca="false">C86+C110</f>
        <v>0.0389484958523922</v>
      </c>
      <c r="D122" s="0" t="n">
        <f aca="false">D86+D110</f>
        <v>-999.930946137241</v>
      </c>
      <c r="E122" s="0" t="n">
        <f aca="false">E86+E110</f>
        <v>-999.964454316263</v>
      </c>
      <c r="F122" s="0" t="n">
        <f aca="false">F86+F110</f>
        <v>-999.941557706423</v>
      </c>
      <c r="G122" s="0" t="n">
        <f aca="false">G86+G110</f>
        <v>-999.838187049874</v>
      </c>
      <c r="H122" s="0" t="n">
        <f aca="false">H86+H110</f>
        <v>-1000.0140435911</v>
      </c>
      <c r="I122" s="0" t="n">
        <f aca="false">I86+I110</f>
        <v>-999.981354343058</v>
      </c>
    </row>
    <row r="123" customFormat="false" ht="15" hidden="false" customHeight="false" outlineLevel="0" collapsed="false">
      <c r="A123" s="0" t="n">
        <v>2</v>
      </c>
      <c r="B123" s="0" t="n">
        <f aca="false">B87+B111</f>
        <v>0.0931900386223833</v>
      </c>
      <c r="C123" s="0" t="n">
        <f aca="false">C87+C111</f>
        <v>0.00596713448227345</v>
      </c>
      <c r="D123" s="0" t="n">
        <f aca="false">D87+D111</f>
        <v>-0.0590903278221914</v>
      </c>
      <c r="E123" s="0" t="n">
        <f aca="false">E87+E111</f>
        <v>-999.858083412695</v>
      </c>
      <c r="F123" s="0" t="n">
        <f aca="false">F87+F111</f>
        <v>-999.989320487855</v>
      </c>
      <c r="G123" s="0" t="n">
        <f aca="false">G87+G111</f>
        <v>-1000.07454142191</v>
      </c>
      <c r="H123" s="0" t="n">
        <f aca="false">H87+H111</f>
        <v>-999.961273929532</v>
      </c>
      <c r="I123" s="0" t="n">
        <f aca="false">I87+I111</f>
        <v>-999.847142539628</v>
      </c>
    </row>
    <row r="124" customFormat="false" ht="15" hidden="false" customHeight="false" outlineLevel="0" collapsed="false">
      <c r="A124" s="0" t="n">
        <v>3</v>
      </c>
      <c r="B124" s="0" t="n">
        <f aca="false">B88+B112</f>
        <v>0.0635618566740621</v>
      </c>
      <c r="C124" s="0" t="n">
        <f aca="false">C88+C112</f>
        <v>0.0117057172390714</v>
      </c>
      <c r="D124" s="0" t="n">
        <f aca="false">D88+D112</f>
        <v>-0.0322544067429921</v>
      </c>
      <c r="E124" s="0" t="n">
        <f aca="false">E88+E112</f>
        <v>0.122592338005499</v>
      </c>
      <c r="F124" s="0" t="n">
        <f aca="false">F88+F112</f>
        <v>-999.981852415198</v>
      </c>
      <c r="G124" s="0" t="n">
        <f aca="false">G88+G112</f>
        <v>-1000.06197344041</v>
      </c>
      <c r="H124" s="0" t="n">
        <f aca="false">H88+H112</f>
        <v>-999.962718196599</v>
      </c>
      <c r="I124" s="0" t="n">
        <f aca="false">I88+I112</f>
        <v>-999.876634341052</v>
      </c>
    </row>
    <row r="125" customFormat="false" ht="15" hidden="false" customHeight="false" outlineLevel="0" collapsed="false">
      <c r="A125" s="0" t="n">
        <v>4</v>
      </c>
      <c r="B125" s="0" t="n">
        <f aca="false">B89+B113</f>
        <v>-0.0415082399177176</v>
      </c>
      <c r="C125" s="0" t="n">
        <f aca="false">C89+C113</f>
        <v>0.0607554766819108</v>
      </c>
      <c r="D125" s="0" t="n">
        <f aca="false">D89+D113</f>
        <v>0.0818416293951211</v>
      </c>
      <c r="E125" s="0" t="n">
        <f aca="false">E89+E113</f>
        <v>-0.113487979186135</v>
      </c>
      <c r="F125" s="0" t="n">
        <f aca="false">F89+F113</f>
        <v>-0.00245097652978703</v>
      </c>
      <c r="G125" s="0" t="n">
        <f aca="false">G89+G113</f>
        <v>-999.974252526924</v>
      </c>
      <c r="H125" s="0" t="n">
        <f aca="false">H89+H113</f>
        <v>-1000.02289682083</v>
      </c>
      <c r="I125" s="0" t="n">
        <f aca="false">I89+I113</f>
        <v>-1000.09987112743</v>
      </c>
    </row>
    <row r="126" customFormat="false" ht="15" hidden="false" customHeight="false" outlineLevel="0" collapsed="false">
      <c r="A126" s="0" t="n">
        <v>5</v>
      </c>
      <c r="B126" s="0" t="n">
        <f aca="false">B90+B114</f>
        <v>-0.0963150970104637</v>
      </c>
      <c r="C126" s="0" t="n">
        <f aca="false">C90+C114</f>
        <v>-0.0128052792253621</v>
      </c>
      <c r="D126" s="0" t="n">
        <f aca="false">D90+D114</f>
        <v>-0.0969483439920305</v>
      </c>
      <c r="E126" s="0" t="n">
        <f aca="false">E90+E114</f>
        <v>-0.062392640388009</v>
      </c>
      <c r="F126" s="0" t="n">
        <f aca="false">F90+F114</f>
        <v>-0.0964872836973251</v>
      </c>
      <c r="G126" s="0" t="n">
        <f aca="false">G90+G114</f>
        <v>-0.277817968489549</v>
      </c>
      <c r="H126" s="0" t="n">
        <f aca="false">H90+H114</f>
        <v>-999.978103867676</v>
      </c>
      <c r="I126" s="0" t="n">
        <f aca="false">I90+I114</f>
        <v>-1000.00738956202</v>
      </c>
    </row>
    <row r="127" customFormat="false" ht="15" hidden="false" customHeight="false" outlineLevel="0" collapsed="false">
      <c r="A127" s="0" t="n">
        <v>6</v>
      </c>
      <c r="B127" s="0" t="n">
        <f aca="false">B91+B115</f>
        <v>0.108634857085932</v>
      </c>
      <c r="C127" s="0" t="n">
        <f aca="false">C91+C115</f>
        <v>0.00539447004358251</v>
      </c>
      <c r="D127" s="0" t="n">
        <f aca="false">D91+D115</f>
        <v>0.0383892083301314</v>
      </c>
      <c r="E127" s="0" t="n">
        <f aca="false">E91+E115</f>
        <v>0.0564541466962663</v>
      </c>
      <c r="F127" s="0" t="n">
        <f aca="false">F91+F115</f>
        <v>0.0569738933733352</v>
      </c>
      <c r="G127" s="0" t="n">
        <f aca="false">G91+G115</f>
        <v>0.189312976628716</v>
      </c>
      <c r="H127" s="0" t="n">
        <f aca="false">H91+H115</f>
        <v>-0.0184892304847922</v>
      </c>
      <c r="I127" s="0" t="n">
        <f aca="false">I91+I115</f>
        <v>-999.966231373545</v>
      </c>
    </row>
    <row r="128" customFormat="false" ht="15" hidden="false" customHeight="false" outlineLevel="0" collapsed="false">
      <c r="A128" s="0" t="n">
        <v>7</v>
      </c>
      <c r="B128" s="0" t="n">
        <f aca="false">B92+B116</f>
        <v>0.0534332070224941</v>
      </c>
      <c r="C128" s="0" t="n">
        <f aca="false">C92+C116</f>
        <v>0.00120914767156466</v>
      </c>
      <c r="D128" s="0" t="n">
        <f aca="false">D92+D116</f>
        <v>-0.0469191357175886</v>
      </c>
      <c r="E128" s="0" t="n">
        <f aca="false">E92+E116</f>
        <v>0.108585004380056</v>
      </c>
      <c r="F128" s="0" t="n">
        <f aca="false">F92+F116</f>
        <v>0.00577058744490059</v>
      </c>
      <c r="G128" s="0" t="n">
        <f aca="false">G92+G116</f>
        <v>-0.0765366762116931</v>
      </c>
      <c r="H128" s="0" t="n">
        <f aca="false">H92+H116</f>
        <v>0.0341931744745127</v>
      </c>
      <c r="I128" s="0" t="n">
        <f aca="false">I92+I116</f>
        <v>0.114167017395642</v>
      </c>
    </row>
    <row r="130" customFormat="false" ht="15" hidden="false" customHeight="false" outlineLevel="0" collapsed="false">
      <c r="A130" s="2" t="s">
        <v>268</v>
      </c>
    </row>
    <row r="131" customFormat="false" ht="15" hidden="false" customHeight="false" outlineLevel="0" collapsed="false">
      <c r="B131" s="2" t="n">
        <v>0</v>
      </c>
      <c r="C131" s="2" t="n">
        <v>1</v>
      </c>
      <c r="D131" s="2" t="n">
        <v>2</v>
      </c>
      <c r="E131" s="2" t="n">
        <v>3</v>
      </c>
      <c r="F131" s="2" t="n">
        <v>4</v>
      </c>
      <c r="G131" s="2" t="n">
        <v>5</v>
      </c>
      <c r="H131" s="2" t="n">
        <v>6</v>
      </c>
      <c r="I131" s="2" t="n">
        <v>7</v>
      </c>
    </row>
    <row r="132" customFormat="false" ht="15" hidden="false" customHeight="false" outlineLevel="0" collapsed="false">
      <c r="A132" s="0" t="n">
        <v>0</v>
      </c>
      <c r="B132" s="9" t="n">
        <f aca="false">EXP(B121)/SUMPRODUCT(EXP(B121:I121))</f>
        <v>1</v>
      </c>
      <c r="C132" s="9" t="n">
        <f aca="false">EXP(C121)/SUMPRODUCT(EXP(B121:I121))</f>
        <v>0</v>
      </c>
      <c r="D132" s="9" t="n">
        <f aca="false">EXP(D121)/SUMPRODUCT(EXP(B121:I121))</f>
        <v>0</v>
      </c>
      <c r="E132" s="9" t="n">
        <f aca="false">EXP(E121)/SUMPRODUCT(EXP(B121:I121))</f>
        <v>0</v>
      </c>
      <c r="F132" s="9" t="n">
        <f aca="false">EXP(F121)/SUMPRODUCT(EXP(B121:I121))</f>
        <v>0</v>
      </c>
      <c r="G132" s="9" t="n">
        <f aca="false">EXP(G121)/SUMPRODUCT(EXP(B121:I121))</f>
        <v>0</v>
      </c>
      <c r="H132" s="9" t="n">
        <f aca="false">EXP(H121)/SUMPRODUCT(EXP(B121:I121))</f>
        <v>0</v>
      </c>
      <c r="I132" s="9" t="n">
        <f aca="false">EXP(I121)/SUMPRODUCT(EXP(B121:I121))</f>
        <v>0</v>
      </c>
    </row>
    <row r="133" customFormat="false" ht="15" hidden="false" customHeight="false" outlineLevel="0" collapsed="false">
      <c r="A133" s="0" t="n">
        <v>1</v>
      </c>
      <c r="B133" s="9" t="n">
        <f aca="false">EXP(B122)/SUMPRODUCT(EXP(B122:I122))</f>
        <v>0.512888823843175</v>
      </c>
      <c r="C133" s="9" t="n">
        <f aca="false">EXP(C122)/SUMPRODUCT(EXP(B122:I122))</f>
        <v>0.487111176156825</v>
      </c>
      <c r="D133" s="9" t="n">
        <f aca="false">EXP(D122)/SUMPRODUCT(EXP(B122:I122))</f>
        <v>0</v>
      </c>
      <c r="E133" s="9" t="n">
        <f aca="false">EXP(E122)/SUMPRODUCT(EXP(B122:I122))</f>
        <v>0</v>
      </c>
      <c r="F133" s="9" t="n">
        <f aca="false">EXP(F122)/SUMPRODUCT(EXP(B122:I122))</f>
        <v>0</v>
      </c>
      <c r="G133" s="9" t="n">
        <f aca="false">EXP(G122)/SUMPRODUCT(EXP(B122:I122))</f>
        <v>0</v>
      </c>
      <c r="H133" s="9" t="n">
        <f aca="false">EXP(H122)/SUMPRODUCT(EXP(B122:I122))</f>
        <v>0</v>
      </c>
      <c r="I133" s="9" t="n">
        <f aca="false">EXP(I122)/SUMPRODUCT(EXP(B122:I122))</f>
        <v>0</v>
      </c>
    </row>
    <row r="134" customFormat="false" ht="15" hidden="false" customHeight="false" outlineLevel="0" collapsed="false">
      <c r="A134" s="0" t="n">
        <v>2</v>
      </c>
      <c r="B134" s="9" t="n">
        <f aca="false">EXP(B123)/SUMPRODUCT(EXP(B123:I123))</f>
        <v>0.360331758420883</v>
      </c>
      <c r="C134" s="9" t="n">
        <f aca="false">EXP(C123)/SUMPRODUCT(EXP(B123:I123))</f>
        <v>0.330234250987229</v>
      </c>
      <c r="D134" s="9" t="n">
        <f aca="false">EXP(D123)/SUMPRODUCT(EXP(B123:I123))</f>
        <v>0.309433990591888</v>
      </c>
      <c r="E134" s="9" t="n">
        <f aca="false">EXP(E123)/SUMPRODUCT(EXP(B123:I123))</f>
        <v>0</v>
      </c>
      <c r="F134" s="9" t="n">
        <f aca="false">EXP(F123)/SUMPRODUCT(EXP(B123:I123))</f>
        <v>0</v>
      </c>
      <c r="G134" s="9" t="n">
        <f aca="false">EXP(G123)/SUMPRODUCT(EXP(B123:I123))</f>
        <v>0</v>
      </c>
      <c r="H134" s="9" t="n">
        <f aca="false">EXP(H123)/SUMPRODUCT(EXP(B123:I123))</f>
        <v>0</v>
      </c>
      <c r="I134" s="9" t="n">
        <f aca="false">EXP(I123)/SUMPRODUCT(EXP(B123:I123))</f>
        <v>0</v>
      </c>
    </row>
    <row r="135" customFormat="false" ht="15" hidden="false" customHeight="false" outlineLevel="0" collapsed="false">
      <c r="A135" s="0" t="n">
        <v>3</v>
      </c>
      <c r="B135" s="9" t="n">
        <f aca="false">EXP(B124)/SUMPRODUCT(EXP(B124:I124))</f>
        <v>0.255173387021487</v>
      </c>
      <c r="C135" s="9" t="n">
        <f aca="false">EXP(C124)/SUMPRODUCT(EXP(B124:I124))</f>
        <v>0.242278314137772</v>
      </c>
      <c r="D135" s="9" t="n">
        <f aca="false">EXP(D124)/SUMPRODUCT(EXP(B124:I124))</f>
        <v>0.231858436930893</v>
      </c>
      <c r="E135" s="9" t="n">
        <f aca="false">EXP(E124)/SUMPRODUCT(EXP(B124:I124))</f>
        <v>0.270689861909848</v>
      </c>
      <c r="F135" s="9" t="n">
        <f aca="false">EXP(F124)/SUMPRODUCT(EXP(B124:I124))</f>
        <v>0</v>
      </c>
      <c r="G135" s="9" t="n">
        <f aca="false">EXP(G124)/SUMPRODUCT(EXP(B124:I124))</f>
        <v>0</v>
      </c>
      <c r="H135" s="9" t="n">
        <f aca="false">EXP(H124)/SUMPRODUCT(EXP(B124:I124))</f>
        <v>0</v>
      </c>
      <c r="I135" s="9" t="n">
        <f aca="false">EXP(I124)/SUMPRODUCT(EXP(B124:I124))</f>
        <v>0</v>
      </c>
    </row>
    <row r="136" customFormat="false" ht="15" hidden="false" customHeight="false" outlineLevel="0" collapsed="false">
      <c r="A136" s="0" t="n">
        <v>4</v>
      </c>
      <c r="B136" s="9" t="n">
        <f aca="false">EXP(B125)/SUMPRODUCT(EXP(B125:I125))</f>
        <v>0.19196306423229</v>
      </c>
      <c r="C136" s="9" t="n">
        <f aca="false">EXP(C125)/SUMPRODUCT(EXP(B125:I125))</f>
        <v>0.212632791916662</v>
      </c>
      <c r="D136" s="9" t="n">
        <f aca="false">EXP(D125)/SUMPRODUCT(EXP(B125:I125))</f>
        <v>0.217164004468842</v>
      </c>
      <c r="E136" s="9" t="n">
        <f aca="false">EXP(E125)/SUMPRODUCT(EXP(B125:I125))</f>
        <v>0.17863118128449</v>
      </c>
      <c r="F136" s="9" t="n">
        <f aca="false">EXP(F125)/SUMPRODUCT(EXP(B125:I125))</f>
        <v>0.199608958097715</v>
      </c>
      <c r="G136" s="9" t="n">
        <f aca="false">EXP(G125)/SUMPRODUCT(EXP(B125:I125))</f>
        <v>0</v>
      </c>
      <c r="H136" s="9" t="n">
        <f aca="false">EXP(H125)/SUMPRODUCT(EXP(B125:I125))</f>
        <v>0</v>
      </c>
      <c r="I136" s="9" t="n">
        <f aca="false">EXP(I125)/SUMPRODUCT(EXP(B125:I125))</f>
        <v>0</v>
      </c>
    </row>
    <row r="137" customFormat="false" ht="15" hidden="false" customHeight="false" outlineLevel="0" collapsed="false">
      <c r="A137" s="0" t="n">
        <v>5</v>
      </c>
      <c r="B137" s="9" t="n">
        <f aca="false">EXP(B126)/SUMPRODUCT(EXP(B126:I126))</f>
        <v>0.167931445008634</v>
      </c>
      <c r="C137" s="9" t="n">
        <f aca="false">EXP(C126)/SUMPRODUCT(EXP(B126:I126))</f>
        <v>0.182557583353979</v>
      </c>
      <c r="D137" s="9" t="n">
        <f aca="false">EXP(D126)/SUMPRODUCT(EXP(B126:I126))</f>
        <v>0.167825136591267</v>
      </c>
      <c r="E137" s="9" t="n">
        <f aca="false">EXP(E126)/SUMPRODUCT(EXP(B126:I126))</f>
        <v>0.173725816182671</v>
      </c>
      <c r="F137" s="9" t="n">
        <f aca="false">EXP(F126)/SUMPRODUCT(EXP(B126:I126))</f>
        <v>0.167902531938793</v>
      </c>
      <c r="G137" s="9" t="n">
        <f aca="false">EXP(G126)/SUMPRODUCT(EXP(B126:I126))</f>
        <v>0.140057486924657</v>
      </c>
      <c r="H137" s="9" t="n">
        <f aca="false">EXP(H126)/SUMPRODUCT(EXP(B126:I126))</f>
        <v>0</v>
      </c>
      <c r="I137" s="9" t="n">
        <f aca="false">EXP(I126)/SUMPRODUCT(EXP(B126:I126))</f>
        <v>0</v>
      </c>
    </row>
    <row r="138" customFormat="false" ht="15" hidden="false" customHeight="false" outlineLevel="0" collapsed="false">
      <c r="A138" s="0" t="n">
        <v>6</v>
      </c>
      <c r="B138" s="9" t="n">
        <f aca="false">EXP(B127)/SUMPRODUCT(EXP(B127:I127))</f>
        <v>0.149308789296477</v>
      </c>
      <c r="C138" s="9" t="n">
        <f aca="false">EXP(C127)/SUMPRODUCT(EXP(B127:I127))</f>
        <v>0.134663111044114</v>
      </c>
      <c r="D138" s="9" t="n">
        <f aca="false">EXP(D127)/SUMPRODUCT(EXP(B127:I127))</f>
        <v>0.139180398706253</v>
      </c>
      <c r="E138" s="9" t="n">
        <f aca="false">EXP(E127)/SUMPRODUCT(EXP(B127:I127))</f>
        <v>0.141717531608028</v>
      </c>
      <c r="F138" s="9" t="n">
        <f aca="false">EXP(F127)/SUMPRODUCT(EXP(B127:I127))</f>
        <v>0.141791207969027</v>
      </c>
      <c r="G138" s="9" t="n">
        <f aca="false">EXP(G127)/SUMPRODUCT(EXP(B127:I127))</f>
        <v>0.16185399968979</v>
      </c>
      <c r="H138" s="9" t="n">
        <f aca="false">EXP(H127)/SUMPRODUCT(EXP(B127:I127))</f>
        <v>0.131484961686312</v>
      </c>
      <c r="I138" s="9" t="n">
        <f aca="false">EXP(I127)/SUMPRODUCT(EXP(B127:I127))</f>
        <v>0</v>
      </c>
    </row>
    <row r="139" customFormat="false" ht="15" hidden="false" customHeight="false" outlineLevel="0" collapsed="false">
      <c r="A139" s="0" t="n">
        <v>7</v>
      </c>
      <c r="B139" s="9" t="n">
        <f aca="false">EXP(B128)/SUMPRODUCT(EXP(B128:I128))</f>
        <v>0.128444347002916</v>
      </c>
      <c r="C139" s="9" t="n">
        <f aca="false">EXP(C128)/SUMPRODUCT(EXP(B128:I128))</f>
        <v>0.121908608568652</v>
      </c>
      <c r="D139" s="9" t="n">
        <f aca="false">EXP(D128)/SUMPRODUCT(EXP(B128:I128))</f>
        <v>0.116180308802613</v>
      </c>
      <c r="E139" s="9" t="n">
        <f aca="false">EXP(E128)/SUMPRODUCT(EXP(B128:I128))</f>
        <v>0.135727270811447</v>
      </c>
      <c r="F139" s="9" t="n">
        <f aca="false">EXP(F128)/SUMPRODUCT(EXP(B128:I128))</f>
        <v>0.122465957534976</v>
      </c>
      <c r="G139" s="9" t="n">
        <f aca="false">EXP(G128)/SUMPRODUCT(EXP(B128:I128))</f>
        <v>0.112789791043408</v>
      </c>
      <c r="H139" s="9" t="n">
        <f aca="false">EXP(H128)/SUMPRODUCT(EXP(B128:I128))</f>
        <v>0.125996695538168</v>
      </c>
      <c r="I139" s="9" t="n">
        <f aca="false">EXP(I128)/SUMPRODUCT(EXP(B128:I128))</f>
        <v>0.136487020697819</v>
      </c>
    </row>
    <row r="142" customFormat="false" ht="15" hidden="false" customHeight="false" outlineLevel="0" collapsed="false">
      <c r="A142" s="2" t="s">
        <v>269</v>
      </c>
    </row>
    <row r="143" customFormat="false" ht="15" hidden="false" customHeight="false" outlineLevel="0" collapsed="false">
      <c r="B143" s="0" t="n">
        <v>0</v>
      </c>
      <c r="C143" s="0" t="n">
        <v>1</v>
      </c>
      <c r="D143" s="0" t="n">
        <v>2</v>
      </c>
      <c r="E143" s="0" t="n">
        <v>3</v>
      </c>
      <c r="F143" s="0" t="n">
        <v>4</v>
      </c>
      <c r="G143" s="0" t="n">
        <v>5</v>
      </c>
      <c r="H143" s="0" t="n">
        <v>6</v>
      </c>
      <c r="I143" s="0" t="n">
        <v>7</v>
      </c>
    </row>
    <row r="144" customFormat="false" ht="15" hidden="false" customHeight="false" outlineLevel="0" collapsed="false">
      <c r="A144" s="0" t="n">
        <v>0</v>
      </c>
      <c r="B144" s="0" t="n">
        <f aca="false">B97+B109</f>
        <v>0.013945494083649</v>
      </c>
      <c r="C144" s="0" t="n">
        <f aca="false">C97+C109</f>
        <v>-1000.09233906182</v>
      </c>
      <c r="D144" s="0" t="n">
        <f aca="false">D97+D109</f>
        <v>-1000.05786791149</v>
      </c>
      <c r="E144" s="0" t="n">
        <f aca="false">E97+E109</f>
        <v>-1000.03184773547</v>
      </c>
      <c r="F144" s="0" t="n">
        <f aca="false">F97+F109</f>
        <v>-1000.13584357503</v>
      </c>
      <c r="G144" s="0" t="n">
        <f aca="false">G97+G109</f>
        <v>-1000.06650402223</v>
      </c>
      <c r="H144" s="0" t="n">
        <f aca="false">H97+H109</f>
        <v>-1000.00999652884</v>
      </c>
      <c r="I144" s="0" t="n">
        <f aca="false">I97+I109</f>
        <v>-999.985961025983</v>
      </c>
    </row>
    <row r="145" customFormat="false" ht="15" hidden="false" customHeight="false" outlineLevel="0" collapsed="false">
      <c r="A145" s="0" t="n">
        <v>1</v>
      </c>
      <c r="B145" s="0" t="n">
        <f aca="false">B98+B110</f>
        <v>-0.0219445336563977</v>
      </c>
      <c r="C145" s="0" t="n">
        <f aca="false">C98+C110</f>
        <v>0.0848619188820632</v>
      </c>
      <c r="D145" s="0" t="n">
        <f aca="false">D98+D110</f>
        <v>-1000.03719639678</v>
      </c>
      <c r="E145" s="0" t="n">
        <f aca="false">E98+E110</f>
        <v>-1000.02158102024</v>
      </c>
      <c r="F145" s="0" t="n">
        <f aca="false">F98+F110</f>
        <v>-999.924898501204</v>
      </c>
      <c r="G145" s="0" t="n">
        <f aca="false">G98+G110</f>
        <v>-1000.07653392668</v>
      </c>
      <c r="H145" s="0" t="n">
        <f aca="false">H98+H110</f>
        <v>-1000.01384503918</v>
      </c>
      <c r="I145" s="0" t="n">
        <f aca="false">I98+I110</f>
        <v>-999.964958824509</v>
      </c>
    </row>
    <row r="146" customFormat="false" ht="15" hidden="false" customHeight="false" outlineLevel="0" collapsed="false">
      <c r="A146" s="0" t="n">
        <v>2</v>
      </c>
      <c r="B146" s="0" t="n">
        <f aca="false">B99+B111</f>
        <v>0.0960715111619741</v>
      </c>
      <c r="C146" s="0" t="n">
        <f aca="false">C99+C111</f>
        <v>-0.177437923196738</v>
      </c>
      <c r="D146" s="0" t="n">
        <f aca="false">D99+D111</f>
        <v>0.0512981966074552</v>
      </c>
      <c r="E146" s="0" t="n">
        <f aca="false">E99+E111</f>
        <v>-999.869766771787</v>
      </c>
      <c r="F146" s="0" t="n">
        <f aca="false">F99+F111</f>
        <v>-1000.09151733707</v>
      </c>
      <c r="G146" s="0" t="n">
        <f aca="false">G99+G111</f>
        <v>-999.780488531624</v>
      </c>
      <c r="H146" s="0" t="n">
        <f aca="false">H99+H111</f>
        <v>-1000.01492049671</v>
      </c>
      <c r="I146" s="0" t="n">
        <f aca="false">I99+I111</f>
        <v>-999.907754793912</v>
      </c>
    </row>
    <row r="147" customFormat="false" ht="15" hidden="false" customHeight="false" outlineLevel="0" collapsed="false">
      <c r="A147" s="0" t="n">
        <v>3</v>
      </c>
      <c r="B147" s="0" t="n">
        <f aca="false">B100+B112</f>
        <v>0.0663375554852659</v>
      </c>
      <c r="C147" s="0" t="n">
        <f aca="false">C100+C112</f>
        <v>-0.0686686948882371</v>
      </c>
      <c r="D147" s="0" t="n">
        <f aca="false">D100+D112</f>
        <v>0.0586524171196894</v>
      </c>
      <c r="E147" s="0" t="n">
        <f aca="false">E100+E112</f>
        <v>0.00666632769375168</v>
      </c>
      <c r="F147" s="0" t="n">
        <f aca="false">F100+F112</f>
        <v>-1000.08782897373</v>
      </c>
      <c r="G147" s="0" t="n">
        <f aca="false">G100+G112</f>
        <v>-999.965293576103</v>
      </c>
      <c r="H147" s="0" t="n">
        <f aca="false">H100+H112</f>
        <v>-999.906117449291</v>
      </c>
      <c r="I147" s="0" t="n">
        <f aca="false">I100+I112</f>
        <v>-1000.03928721458</v>
      </c>
    </row>
    <row r="148" customFormat="false" ht="15" hidden="false" customHeight="false" outlineLevel="0" collapsed="false">
      <c r="A148" s="0" t="n">
        <v>4</v>
      </c>
      <c r="B148" s="0" t="n">
        <f aca="false">B101+B113</f>
        <v>-0.0493949099046826</v>
      </c>
      <c r="C148" s="0" t="n">
        <f aca="false">C101+C113</f>
        <v>0.216442222414061</v>
      </c>
      <c r="D148" s="0" t="n">
        <f aca="false">D101+D113</f>
        <v>-0.0577781455264103</v>
      </c>
      <c r="E148" s="0" t="n">
        <f aca="false">E101+E113</f>
        <v>-0.119704059872026</v>
      </c>
      <c r="F148" s="0" t="n">
        <f aca="false">F101+F113</f>
        <v>0.126416495698014</v>
      </c>
      <c r="G148" s="0" t="n">
        <f aca="false">G101+G113</f>
        <v>-1000.25928421041</v>
      </c>
      <c r="H148" s="0" t="n">
        <f aca="false">H101+H113</f>
        <v>-999.941631238444</v>
      </c>
      <c r="I148" s="0" t="n">
        <f aca="false">I101+I113</f>
        <v>-1000.0238355189</v>
      </c>
    </row>
    <row r="149" customFormat="false" ht="15" hidden="false" customHeight="false" outlineLevel="0" collapsed="false">
      <c r="A149" s="0" t="n">
        <v>5</v>
      </c>
      <c r="B149" s="0" t="n">
        <f aca="false">B102+B114</f>
        <v>0.0282454287601856</v>
      </c>
      <c r="C149" s="0" t="n">
        <f aca="false">C102+C114</f>
        <v>-0.088467069685262</v>
      </c>
      <c r="D149" s="0" t="n">
        <f aca="false">D102+D114</f>
        <v>-0.0267016868322287</v>
      </c>
      <c r="E149" s="0" t="n">
        <f aca="false">E102+E114</f>
        <v>-0.00125343535162506</v>
      </c>
      <c r="F149" s="0" t="n">
        <f aca="false">F102+F114</f>
        <v>-0.105645554194192</v>
      </c>
      <c r="G149" s="0" t="n">
        <f aca="false">G102+G114</f>
        <v>-0.0105906712791021</v>
      </c>
      <c r="H149" s="0" t="n">
        <f aca="false">H102+H114</f>
        <v>-1000.00158059624</v>
      </c>
      <c r="I149" s="0" t="n">
        <f aca="false">I102+I114</f>
        <v>-999.978175230927</v>
      </c>
    </row>
    <row r="150" customFormat="false" ht="15" hidden="false" customHeight="false" outlineLevel="0" collapsed="false">
      <c r="A150" s="0" t="n">
        <v>6</v>
      </c>
      <c r="B150" s="0" t="n">
        <f aca="false">B103+B115</f>
        <v>0.0146068302949705</v>
      </c>
      <c r="C150" s="0" t="n">
        <f aca="false">C103+C115</f>
        <v>0.0428872969352207</v>
      </c>
      <c r="D150" s="0" t="n">
        <f aca="false">D103+D115</f>
        <v>-0.0297911705264517</v>
      </c>
      <c r="E150" s="0" t="n">
        <f aca="false">E103+E115</f>
        <v>-0.0474031389600247</v>
      </c>
      <c r="F150" s="0" t="n">
        <f aca="false">F103+F115</f>
        <v>-0.00757344882647787</v>
      </c>
      <c r="G150" s="0" t="n">
        <f aca="false">G103+G115</f>
        <v>-0.117068266770821</v>
      </c>
      <c r="H150" s="0" t="n">
        <f aca="false">H103+H115</f>
        <v>0.0482417631944949</v>
      </c>
      <c r="I150" s="0" t="n">
        <f aca="false">I103+I115</f>
        <v>-999.990262833487</v>
      </c>
    </row>
    <row r="151" customFormat="false" ht="15" hidden="false" customHeight="false" outlineLevel="0" collapsed="false">
      <c r="A151" s="0" t="n">
        <v>7</v>
      </c>
      <c r="B151" s="0" t="n">
        <f aca="false">B104+B116</f>
        <v>0.0453499174958628</v>
      </c>
      <c r="C151" s="0" t="n">
        <f aca="false">C104+C116</f>
        <v>-0.102024739267112</v>
      </c>
      <c r="D151" s="0" t="n">
        <f aca="false">D104+D116</f>
        <v>0.0418873660393998</v>
      </c>
      <c r="E151" s="0" t="n">
        <f aca="false">E104+E116</f>
        <v>0.0366567041982391</v>
      </c>
      <c r="F151" s="0" t="n">
        <f aca="false">F104+F116</f>
        <v>-0.0865215919102701</v>
      </c>
      <c r="G151" s="0" t="n">
        <f aca="false">G104+G116</f>
        <v>0.0906345944246116</v>
      </c>
      <c r="H151" s="0" t="n">
        <f aca="false">H104+H116</f>
        <v>0.0252838990368249</v>
      </c>
      <c r="I151" s="0" t="n">
        <f aca="false">I104+I116</f>
        <v>-0.0124324968763797</v>
      </c>
    </row>
    <row r="153" customFormat="false" ht="15" hidden="false" customHeight="false" outlineLevel="0" collapsed="false">
      <c r="A153" s="2" t="s">
        <v>270</v>
      </c>
    </row>
    <row r="154" customFormat="false" ht="15" hidden="false" customHeight="false" outlineLevel="0" collapsed="false">
      <c r="B154" s="0" t="n">
        <v>0</v>
      </c>
      <c r="C154" s="0" t="n">
        <v>1</v>
      </c>
      <c r="D154" s="0" t="n">
        <v>2</v>
      </c>
      <c r="E154" s="0" t="n">
        <v>3</v>
      </c>
      <c r="F154" s="0" t="n">
        <v>4</v>
      </c>
      <c r="G154" s="0" t="n">
        <v>5</v>
      </c>
      <c r="H154" s="0" t="n">
        <v>6</v>
      </c>
      <c r="I154" s="0" t="n">
        <v>7</v>
      </c>
    </row>
    <row r="155" customFormat="false" ht="15" hidden="false" customHeight="false" outlineLevel="0" collapsed="false">
      <c r="A155" s="0" t="n">
        <v>0</v>
      </c>
      <c r="B155" s="9" t="n">
        <f aca="false">EXP(B144)/SUMPRODUCT(EXP(B144:I144))</f>
        <v>1</v>
      </c>
      <c r="C155" s="9" t="n">
        <f aca="false">EXP(C144)/SUMPRODUCT(EXP(B144:I144))</f>
        <v>0</v>
      </c>
      <c r="D155" s="9" t="n">
        <f aca="false">EXP(D144)/SUMPRODUCT(EXP(B144:I144))</f>
        <v>0</v>
      </c>
      <c r="E155" s="9" t="n">
        <f aca="false">EXP(E144)/SUMPRODUCT(EXP(B144:I144))</f>
        <v>0</v>
      </c>
      <c r="F155" s="9" t="n">
        <f aca="false">EXP(F144)/SUMPRODUCT(EXP(B144:I144))</f>
        <v>0</v>
      </c>
      <c r="G155" s="9" t="n">
        <f aca="false">EXP(G144)/SUMPRODUCT(EXP(B144:I144))</f>
        <v>0</v>
      </c>
      <c r="H155" s="9" t="n">
        <f aca="false">EXP(H144)/SUMPRODUCT(EXP(B144:I144))</f>
        <v>0</v>
      </c>
      <c r="I155" s="9" t="n">
        <f aca="false">EXP(I144)/SUMPRODUCT(EXP(B144:I144))</f>
        <v>0</v>
      </c>
    </row>
    <row r="156" customFormat="false" ht="15" hidden="false" customHeight="false" outlineLevel="0" collapsed="false">
      <c r="A156" s="0" t="n">
        <v>1</v>
      </c>
      <c r="B156" s="9" t="n">
        <f aca="false">EXP(B145)/SUMPRODUCT(EXP(B145:I145))</f>
        <v>0.47332374142649</v>
      </c>
      <c r="C156" s="9" t="n">
        <f aca="false">EXP(C145)/SUMPRODUCT(EXP(B145:I145))</f>
        <v>0.52667625857351</v>
      </c>
      <c r="D156" s="9" t="n">
        <f aca="false">EXP(D145)/SUMPRODUCT(EXP(B145:I145))</f>
        <v>0</v>
      </c>
      <c r="E156" s="9" t="n">
        <f aca="false">EXP(E145)/SUMPRODUCT(EXP(B145:I145))</f>
        <v>0</v>
      </c>
      <c r="F156" s="9" t="n">
        <f aca="false">EXP(F145)/SUMPRODUCT(EXP(B145:I145))</f>
        <v>0</v>
      </c>
      <c r="G156" s="9" t="n">
        <f aca="false">EXP(G145)/SUMPRODUCT(EXP(B145:I145))</f>
        <v>0</v>
      </c>
      <c r="H156" s="9" t="n">
        <f aca="false">EXP(H145)/SUMPRODUCT(EXP(B145:I145))</f>
        <v>0</v>
      </c>
      <c r="I156" s="9" t="n">
        <f aca="false">EXP(I145)/SUMPRODUCT(EXP(B145:I145))</f>
        <v>0</v>
      </c>
    </row>
    <row r="157" customFormat="false" ht="15" hidden="false" customHeight="false" outlineLevel="0" collapsed="false">
      <c r="A157" s="0" t="n">
        <v>2</v>
      </c>
      <c r="B157" s="9" t="n">
        <f aca="false">EXP(B146)/SUMPRODUCT(EXP(B146:I146))</f>
        <v>0.36806392143514</v>
      </c>
      <c r="C157" s="9" t="n">
        <f aca="false">EXP(C146)/SUMPRODUCT(EXP(B146:I146))</f>
        <v>0.279988124082369</v>
      </c>
      <c r="D157" s="9" t="n">
        <f aca="false">EXP(D146)/SUMPRODUCT(EXP(B146:I146))</f>
        <v>0.351947954482491</v>
      </c>
      <c r="E157" s="9" t="n">
        <f aca="false">EXP(E146)/SUMPRODUCT(EXP(B146:I146))</f>
        <v>0</v>
      </c>
      <c r="F157" s="9" t="n">
        <f aca="false">EXP(F146)/SUMPRODUCT(EXP(B146:I146))</f>
        <v>0</v>
      </c>
      <c r="G157" s="9" t="n">
        <f aca="false">EXP(G146)/SUMPRODUCT(EXP(B146:I146))</f>
        <v>0</v>
      </c>
      <c r="H157" s="9" t="n">
        <f aca="false">EXP(H146)/SUMPRODUCT(EXP(B146:I146))</f>
        <v>0</v>
      </c>
      <c r="I157" s="9" t="n">
        <f aca="false">EXP(I146)/SUMPRODUCT(EXP(B146:I146))</f>
        <v>0</v>
      </c>
    </row>
    <row r="158" customFormat="false" ht="15" hidden="false" customHeight="false" outlineLevel="0" collapsed="false">
      <c r="A158" s="0" t="n">
        <v>3</v>
      </c>
      <c r="B158" s="9" t="n">
        <f aca="false">EXP(B147)/SUMPRODUCT(EXP(B147:I147))</f>
        <v>0.26259614781672</v>
      </c>
      <c r="C158" s="9" t="n">
        <f aca="false">EXP(C147)/SUMPRODUCT(EXP(B147:I147))</f>
        <v>0.229432998649034</v>
      </c>
      <c r="D158" s="9" t="n">
        <f aca="false">EXP(D147)/SUMPRODUCT(EXP(B147:I147))</f>
        <v>0.260585794901144</v>
      </c>
      <c r="E158" s="9" t="n">
        <f aca="false">EXP(E147)/SUMPRODUCT(EXP(B147:I147))</f>
        <v>0.247385058633102</v>
      </c>
      <c r="F158" s="9" t="n">
        <f aca="false">EXP(F147)/SUMPRODUCT(EXP(B147:I147))</f>
        <v>0</v>
      </c>
      <c r="G158" s="9" t="n">
        <f aca="false">EXP(G147)/SUMPRODUCT(EXP(B147:I147))</f>
        <v>0</v>
      </c>
      <c r="H158" s="9" t="n">
        <f aca="false">EXP(H147)/SUMPRODUCT(EXP(B147:I147))</f>
        <v>0</v>
      </c>
      <c r="I158" s="9" t="n">
        <f aca="false">EXP(I147)/SUMPRODUCT(EXP(B147:I147))</f>
        <v>0</v>
      </c>
    </row>
    <row r="159" customFormat="false" ht="15" hidden="false" customHeight="false" outlineLevel="0" collapsed="false">
      <c r="A159" s="0" t="n">
        <v>4</v>
      </c>
      <c r="B159" s="9" t="n">
        <f aca="false">EXP(B148)/SUMPRODUCT(EXP(B148:I148))</f>
        <v>0.184485057893061</v>
      </c>
      <c r="C159" s="9" t="n">
        <f aca="false">EXP(C148)/SUMPRODUCT(EXP(B148:I148))</f>
        <v>0.24066492310688</v>
      </c>
      <c r="D159" s="9" t="n">
        <f aca="false">EXP(D148)/SUMPRODUCT(EXP(B148:I148))</f>
        <v>0.182944940786119</v>
      </c>
      <c r="E159" s="9" t="n">
        <f aca="false">EXP(E148)/SUMPRODUCT(EXP(B148:I148))</f>
        <v>0.171959558334385</v>
      </c>
      <c r="F159" s="9" t="n">
        <f aca="false">EXP(F148)/SUMPRODUCT(EXP(B148:I148))</f>
        <v>0.219945519879556</v>
      </c>
      <c r="G159" s="9" t="n">
        <f aca="false">EXP(G148)/SUMPRODUCT(EXP(B148:I148))</f>
        <v>0</v>
      </c>
      <c r="H159" s="9" t="n">
        <f aca="false">EXP(H148)/SUMPRODUCT(EXP(B148:I148))</f>
        <v>0</v>
      </c>
      <c r="I159" s="9" t="n">
        <f aca="false">EXP(I148)/SUMPRODUCT(EXP(B148:I148))</f>
        <v>0</v>
      </c>
    </row>
    <row r="160" customFormat="false" ht="15" hidden="false" customHeight="false" outlineLevel="0" collapsed="false">
      <c r="A160" s="0" t="n">
        <v>5</v>
      </c>
      <c r="B160" s="9" t="n">
        <f aca="false">EXP(B149)/SUMPRODUCT(EXP(B149:I149))</f>
        <v>0.177182383886575</v>
      </c>
      <c r="C160" s="9" t="n">
        <f aca="false">EXP(C149)/SUMPRODUCT(EXP(B149:I149))</f>
        <v>0.157664147366948</v>
      </c>
      <c r="D160" s="9" t="n">
        <f aca="false">EXP(D149)/SUMPRODUCT(EXP(B149:I149))</f>
        <v>0.16770936380347</v>
      </c>
      <c r="E160" s="9" t="n">
        <f aca="false">EXP(E149)/SUMPRODUCT(EXP(B149:I149))</f>
        <v>0.172032042898606</v>
      </c>
      <c r="F160" s="9" t="n">
        <f aca="false">EXP(F149)/SUMPRODUCT(EXP(B149:I149))</f>
        <v>0.154978846985058</v>
      </c>
      <c r="G160" s="9" t="n">
        <f aca="false">EXP(G149)/SUMPRODUCT(EXP(B149:I149))</f>
        <v>0.170433215059344</v>
      </c>
      <c r="H160" s="9" t="n">
        <f aca="false">EXP(H149)/SUMPRODUCT(EXP(B149:I149))</f>
        <v>0</v>
      </c>
      <c r="I160" s="9" t="n">
        <f aca="false">EXP(I149)/SUMPRODUCT(EXP(B149:I149))</f>
        <v>0</v>
      </c>
    </row>
    <row r="161" customFormat="false" ht="15" hidden="false" customHeight="false" outlineLevel="0" collapsed="false">
      <c r="A161" s="0" t="n">
        <v>6</v>
      </c>
      <c r="B161" s="9" t="n">
        <f aca="false">EXP(B150)/SUMPRODUCT(EXP(B150:I150))</f>
        <v>0.146756085539811</v>
      </c>
      <c r="C161" s="9" t="n">
        <f aca="false">EXP(C150)/SUMPRODUCT(EXP(B150:I150))</f>
        <v>0.150965659926115</v>
      </c>
      <c r="D161" s="9" t="n">
        <f aca="false">EXP(D150)/SUMPRODUCT(EXP(B150:I150))</f>
        <v>0.140382933197718</v>
      </c>
      <c r="E161" s="9" t="n">
        <f aca="false">EXP(E150)/SUMPRODUCT(EXP(B150:I150))</f>
        <v>0.137932158243605</v>
      </c>
      <c r="F161" s="9" t="n">
        <f aca="false">EXP(F150)/SUMPRODUCT(EXP(B150:I150))</f>
        <v>0.143536828587653</v>
      </c>
      <c r="G161" s="9" t="n">
        <f aca="false">EXP(G150)/SUMPRODUCT(EXP(B150:I150))</f>
        <v>0.128650166062808</v>
      </c>
      <c r="H161" s="9" t="n">
        <f aca="false">EXP(H150)/SUMPRODUCT(EXP(B150:I150))</f>
        <v>0.15177616844229</v>
      </c>
      <c r="I161" s="9" t="n">
        <f aca="false">EXP(I150)/SUMPRODUCT(EXP(B150:I150))</f>
        <v>0</v>
      </c>
    </row>
    <row r="162" customFormat="false" ht="15" hidden="false" customHeight="false" outlineLevel="0" collapsed="false">
      <c r="A162" s="0" t="n">
        <v>7</v>
      </c>
      <c r="B162" s="9" t="n">
        <f aca="false">EXP(B151)/SUMPRODUCT(EXP(B151:I151))</f>
        <v>0.129910165085032</v>
      </c>
      <c r="C162" s="9" t="n">
        <f aca="false">EXP(C151)/SUMPRODUCT(EXP(B151:I151))</f>
        <v>0.112108652988838</v>
      </c>
      <c r="D162" s="9" t="n">
        <f aca="false">EXP(D151)/SUMPRODUCT(EXP(B151:I151))</f>
        <v>0.12946112231919</v>
      </c>
      <c r="E162" s="9" t="n">
        <f aca="false">EXP(E151)/SUMPRODUCT(EXP(B151:I151))</f>
        <v>0.128785722899646</v>
      </c>
      <c r="F162" s="9" t="n">
        <f aca="false">EXP(F151)/SUMPRODUCT(EXP(B151:I151))</f>
        <v>0.113860232370551</v>
      </c>
      <c r="G162" s="9" t="n">
        <f aca="false">EXP(G151)/SUMPRODUCT(EXP(B151:I151))</f>
        <v>0.13592834211989</v>
      </c>
      <c r="H162" s="9" t="n">
        <f aca="false">EXP(H151)/SUMPRODUCT(EXP(B151:I151))</f>
        <v>0.127329365099451</v>
      </c>
      <c r="I162" s="9" t="n">
        <f aca="false">EXP(I151)/SUMPRODUCT(EXP(B151:I151))</f>
        <v>0.122616397117402</v>
      </c>
    </row>
    <row r="165" customFormat="false" ht="15" hidden="false" customHeight="false" outlineLevel="0" collapsed="false">
      <c r="A165" s="1" t="s">
        <v>271</v>
      </c>
    </row>
    <row r="167" customFormat="false" ht="15" hidden="false" customHeight="false" outlineLevel="0" collapsed="false">
      <c r="A167" s="2" t="s">
        <v>272</v>
      </c>
    </row>
    <row r="168" customFormat="false" ht="15" hidden="false" customHeight="false" outlineLevel="0" collapsed="false">
      <c r="B168" s="2" t="s">
        <v>273</v>
      </c>
      <c r="C168" s="2" t="s">
        <v>274</v>
      </c>
      <c r="D168" s="2" t="s">
        <v>275</v>
      </c>
      <c r="E168" s="2" t="s">
        <v>276</v>
      </c>
    </row>
    <row r="169" customFormat="false" ht="15" hidden="false" customHeight="false" outlineLevel="0" collapsed="false">
      <c r="A169" s="0" t="n">
        <v>0</v>
      </c>
      <c r="B169" s="9" t="n">
        <f aca="false">B132*B71+C132*B72+D132*B73+E132*B74+F132*B75+G132*B76+H132*B77+I132*B78</f>
        <v>-0.0645173208008329</v>
      </c>
      <c r="C169" s="9" t="n">
        <f aca="false">B132*C71+C132*C72+D132*C73+E132*C74+F132*C75+G132*C76+H132*C77+I132*C78</f>
        <v>-0.0907951563530803</v>
      </c>
      <c r="D169" s="9" t="n">
        <f aca="false">B132*D71+C132*D72+D132*D73+E132*D74+F132*D75+G132*D76+H132*D77+I132*D78</f>
        <v>0.359869925855449</v>
      </c>
      <c r="E169" s="9" t="n">
        <f aca="false">B132*E71+C132*E72+D132*E73+E132*E74+F132*E75+G132*E76+H132*E77+I132*E78</f>
        <v>-0.0842099136381986</v>
      </c>
    </row>
    <row r="170" customFormat="false" ht="15" hidden="false" customHeight="false" outlineLevel="0" collapsed="false">
      <c r="A170" s="0" t="n">
        <v>1</v>
      </c>
      <c r="B170" s="9" t="n">
        <f aca="false">B133*B71+C133*B72+D133*B73+E133*B74+F133*B75+G133*B76+H133*B77+I133*B78</f>
        <v>-0.0995091952324595</v>
      </c>
      <c r="C170" s="9" t="n">
        <f aca="false">B133*C71+C133*C72+D133*C73+E133*C74+F133*C75+G133*C76+H133*C77+I133*C78</f>
        <v>0.0396072677231332</v>
      </c>
      <c r="D170" s="9" t="n">
        <f aca="false">B133*D71+C133*D72+D133*D73+E133*D74+F133*D75+G133*D76+H133*D77+I133*D78</f>
        <v>0.479507360147565</v>
      </c>
      <c r="E170" s="9" t="n">
        <f aca="false">B133*E71+C133*E72+D133*E73+E133*E74+F133*E75+G133*E76+H133*E77+I133*E78</f>
        <v>-0.0423464143734185</v>
      </c>
    </row>
    <row r="171" customFormat="false" ht="15" hidden="false" customHeight="false" outlineLevel="0" collapsed="false">
      <c r="A171" s="0" t="n">
        <v>2</v>
      </c>
      <c r="B171" s="9" t="n">
        <f aca="false">B134*B71+C134*B72+D134*B73+E134*B74+F134*B75+G134*B76+H134*B77+I134*B78</f>
        <v>-0.051179963108472</v>
      </c>
      <c r="C171" s="9" t="n">
        <f aca="false">B134*C71+C134*C72+D134*C73+E134*C74+F134*C75+G134*C76+H134*C77+I134*C78</f>
        <v>0.130404308389315</v>
      </c>
      <c r="D171" s="9" t="n">
        <f aca="false">B134*D71+C134*D72+D134*D73+E134*D74+F134*D75+G134*D76+H134*D77+I134*D78</f>
        <v>0.411841852250488</v>
      </c>
      <c r="E171" s="9" t="n">
        <f aca="false">B134*E71+C134*E72+D134*E73+E134*E74+F134*E75+G134*E76+H134*E77+I134*E78</f>
        <v>-0.0778172310154985</v>
      </c>
    </row>
    <row r="172" customFormat="false" ht="15" hidden="false" customHeight="false" outlineLevel="0" collapsed="false">
      <c r="A172" s="0" t="n">
        <v>3</v>
      </c>
      <c r="B172" s="9" t="n">
        <f aca="false">B135*B71+C135*B72+D135*B73+E135*B74+F135*B75+G135*B76+H135*B77+I135*B78</f>
        <v>-0.0244648584492063</v>
      </c>
      <c r="C172" s="9" t="n">
        <f aca="false">B135*C71+C135*C72+D135*C73+E135*C74+F135*C75+G135*C76+H135*C77+I135*C78</f>
        <v>-0.0848438077363749</v>
      </c>
      <c r="D172" s="9" t="n">
        <f aca="false">B135*D71+C135*D72+D135*D73+E135*D74+F135*D75+G135*D76+H135*D77+I135*D78</f>
        <v>0.345515938305226</v>
      </c>
      <c r="E172" s="9" t="n">
        <f aca="false">B135*E71+C135*E72+D135*E73+E135*E74+F135*E75+G135*E76+H135*E77+I135*E78</f>
        <v>0.0618042943695647</v>
      </c>
    </row>
    <row r="173" customFormat="false" ht="15" hidden="false" customHeight="false" outlineLevel="0" collapsed="false">
      <c r="A173" s="0" t="n">
        <v>4</v>
      </c>
      <c r="B173" s="9" t="n">
        <f aca="false">B136*B71+C136*B72+D136*B73+E136*B74+F136*B75+G136*B76+H136*B77+I136*B78</f>
        <v>-0.0486886812765893</v>
      </c>
      <c r="C173" s="9" t="n">
        <f aca="false">B136*C71+C136*C72+D136*C73+E136*C74+F136*C75+G136*C76+H136*C77+I136*C78</f>
        <v>-0.147021087610254</v>
      </c>
      <c r="D173" s="9" t="n">
        <f aca="false">B136*D71+C136*D72+D136*D73+E136*D74+F136*D75+G136*D76+H136*D77+I136*D78</f>
        <v>0.381915244138765</v>
      </c>
      <c r="E173" s="9" t="n">
        <f aca="false">B136*E71+C136*E72+D136*E73+E136*E74+F136*E75+G136*E76+H136*E77+I136*E78</f>
        <v>0.119232191176934</v>
      </c>
    </row>
    <row r="174" customFormat="false" ht="15" hidden="false" customHeight="false" outlineLevel="0" collapsed="false">
      <c r="A174" s="0" t="n">
        <v>5</v>
      </c>
      <c r="B174" s="9" t="n">
        <f aca="false">B137*B71+C137*B72+D137*B73+E137*B74+F137*B75+G137*B76+H137*B77+I137*B78</f>
        <v>-0.0847264009746406</v>
      </c>
      <c r="C174" s="9" t="n">
        <f aca="false">B137*C71+C137*C72+D137*C73+E137*C74+F137*C75+G137*C76+H137*C77+I137*C78</f>
        <v>-0.205711347773976</v>
      </c>
      <c r="D174" s="9" t="n">
        <f aca="false">B137*D71+C137*D72+D137*D73+E137*D74+F137*D75+G137*D76+H137*D77+I137*D78</f>
        <v>0.298641040857099</v>
      </c>
      <c r="E174" s="9" t="n">
        <f aca="false">B137*E71+C137*E72+D137*E73+E137*E74+F137*E75+G137*E76+H137*E77+I137*E78</f>
        <v>0.120426250171157</v>
      </c>
    </row>
    <row r="175" customFormat="false" ht="15" hidden="false" customHeight="false" outlineLevel="0" collapsed="false">
      <c r="A175" s="0" t="n">
        <v>6</v>
      </c>
      <c r="B175" s="9" t="n">
        <f aca="false">B138*B71+C138*B72+D138*B73+E138*B74+F138*B75+G138*B76+H138*B77+I138*B78</f>
        <v>-0.013221552780196</v>
      </c>
      <c r="C175" s="9" t="n">
        <f aca="false">B138*C71+C138*C72+D138*C73+E138*C74+F138*C75+G138*C76+H138*C77+I138*C78</f>
        <v>-0.196144457218507</v>
      </c>
      <c r="D175" s="9" t="n">
        <f aca="false">B138*D71+C138*D72+D138*D73+E138*D74+F138*D75+G138*D76+H138*D77+I138*D78</f>
        <v>0.334498088446602</v>
      </c>
      <c r="E175" s="9" t="n">
        <f aca="false">B138*E71+C138*E72+D138*E73+E138*E74+F138*E75+G138*E76+H138*E77+I138*E78</f>
        <v>0.133233240058919</v>
      </c>
    </row>
    <row r="176" customFormat="false" ht="15" hidden="false" customHeight="false" outlineLevel="0" collapsed="false">
      <c r="A176" s="0" t="n">
        <v>7</v>
      </c>
      <c r="B176" s="9" t="n">
        <f aca="false">B139*B71+C139*B72+D139*B73+E139*B74+F139*B75+G139*B76+H139*B77+I139*B78</f>
        <v>-0.0490118649749836</v>
      </c>
      <c r="C176" s="9" t="n">
        <f aca="false">B139*C71+C139*C72+D139*C73+E139*C74+F139*C75+G139*C76+H139*C77+I139*C78</f>
        <v>-0.227261909401159</v>
      </c>
      <c r="D176" s="9" t="n">
        <f aca="false">B139*D71+C139*D72+D139*D73+E139*D74+F139*D75+G139*D76+H139*D77+I139*D78</f>
        <v>0.252397918092091</v>
      </c>
      <c r="E176" s="9" t="n">
        <f aca="false">B139*E71+C139*E72+D139*E73+E139*E74+F139*E75+G139*E76+H139*E77+I139*E78</f>
        <v>0.117096915992096</v>
      </c>
    </row>
    <row r="179" customFormat="false" ht="15" hidden="false" customHeight="false" outlineLevel="0" collapsed="false">
      <c r="A179" s="2" t="s">
        <v>277</v>
      </c>
    </row>
    <row r="180" customFormat="false" ht="15" hidden="false" customHeight="false" outlineLevel="0" collapsed="false">
      <c r="B180" s="2" t="s">
        <v>278</v>
      </c>
      <c r="C180" s="2" t="s">
        <v>279</v>
      </c>
      <c r="D180" s="2" t="s">
        <v>280</v>
      </c>
      <c r="E180" s="2" t="s">
        <v>281</v>
      </c>
    </row>
    <row r="181" customFormat="false" ht="15" hidden="false" customHeight="false" outlineLevel="0" collapsed="false">
      <c r="A181" s="0" t="n">
        <v>0</v>
      </c>
      <c r="B181" s="9" t="n">
        <f aca="false">B155*F71+C155*F72+D155*F73+E155*F74+F155*F75+G155*F76+H155*F77+I155*F78</f>
        <v>0.0267157912232325</v>
      </c>
      <c r="C181" s="9" t="n">
        <f aca="false">B155*G71+C155*G72+D155*G73+E155*G74+F155*G75+G155*G76+H155*G77+I155*G78</f>
        <v>0.0303827667861344</v>
      </c>
      <c r="D181" s="9" t="n">
        <f aca="false">B155*H71+C155*H72+D155*H73+E155*H74+F155*H75+G155*H76+H155*H77+I155*H78</f>
        <v>0.165818576865768</v>
      </c>
      <c r="E181" s="9" t="n">
        <f aca="false">B155*I71+C155*I72+D155*I73+E155*I74+F155*I75+G155*I76+H155*I77+I155*I78</f>
        <v>0.181874989719279</v>
      </c>
    </row>
    <row r="182" customFormat="false" ht="15" hidden="false" customHeight="false" outlineLevel="0" collapsed="false">
      <c r="A182" s="0" t="n">
        <v>1</v>
      </c>
      <c r="B182" s="9" t="n">
        <f aca="false">B156*F71+C156*F72+D156*F73+E156*F74+F156*F75+G156*F76+H156*F77+I156*F78</f>
        <v>0.165749991784785</v>
      </c>
      <c r="C182" s="9" t="n">
        <f aca="false">B156*G71+C156*G72+D156*G73+E156*G74+F156*G75+G156*G76+H156*G77+I156*G78</f>
        <v>-0.190210566922537</v>
      </c>
      <c r="D182" s="9" t="n">
        <f aca="false">B156*H71+C156*H72+D156*H73+E156*H74+F156*H75+G156*H76+H156*H77+I156*H78</f>
        <v>0.0192506424954354</v>
      </c>
      <c r="E182" s="9" t="n">
        <f aca="false">B156*I71+C156*I72+D156*I73+E156*I74+F156*I75+G156*I76+H156*I77+I156*I78</f>
        <v>0.15880232280992</v>
      </c>
    </row>
    <row r="183" customFormat="false" ht="15" hidden="false" customHeight="false" outlineLevel="0" collapsed="false">
      <c r="A183" s="0" t="n">
        <v>2</v>
      </c>
      <c r="B183" s="9" t="n">
        <f aca="false">B157*F71+C157*F72+D157*F73+E157*F74+F157*F75+G157*F76+H157*F77+I157*F78</f>
        <v>0.103245851761493</v>
      </c>
      <c r="C183" s="9" t="n">
        <f aca="false">B157*G71+C157*G72+D157*G73+E157*G74+F157*G75+G157*G76+H157*G77+I157*G78</f>
        <v>-0.151463332947868</v>
      </c>
      <c r="D183" s="9" t="n">
        <f aca="false">B157*H71+C157*H72+D157*H73+E157*H74+F157*H75+G157*H76+H157*H77+I157*H78</f>
        <v>0.16362900725397</v>
      </c>
      <c r="E183" s="9" t="n">
        <f aca="false">B157*I71+C157*I72+D157*I73+E157*I74+F157*I75+G157*I76+H157*I77+I157*I78</f>
        <v>0.00862537079841788</v>
      </c>
    </row>
    <row r="184" customFormat="false" ht="15" hidden="false" customHeight="false" outlineLevel="0" collapsed="false">
      <c r="A184" s="0" t="n">
        <v>3</v>
      </c>
      <c r="B184" s="9" t="n">
        <f aca="false">B158*F71+C158*F72+D158*F73+E158*F74+F158*F75+G158*F76+H158*F77+I158*F78</f>
        <v>-0.0255975478917707</v>
      </c>
      <c r="C184" s="9" t="n">
        <f aca="false">B158*G71+C158*G72+D158*G73+E158*G74+F158*G75+G158*G76+H158*G77+I158*G78</f>
        <v>-0.0380406854078212</v>
      </c>
      <c r="D184" s="9" t="n">
        <f aca="false">B158*H71+C158*H72+D158*H73+E158*H74+F158*H75+G158*H76+H158*H77+I158*H78</f>
        <v>0.180918283416784</v>
      </c>
      <c r="E184" s="9" t="n">
        <f aca="false">B158*I71+C158*I72+D158*I73+E158*I74+F158*I75+G158*I76+H158*I77+I158*I78</f>
        <v>-0.0126775292499774</v>
      </c>
    </row>
    <row r="185" customFormat="false" ht="15" hidden="false" customHeight="false" outlineLevel="0" collapsed="false">
      <c r="A185" s="0" t="n">
        <v>4</v>
      </c>
      <c r="B185" s="9" t="n">
        <f aca="false">B159*F71+C159*F72+D159*F73+E159*F74+F159*F75+G159*F76+H159*F77+I159*F78</f>
        <v>-0.0448091452086128</v>
      </c>
      <c r="C185" s="9" t="n">
        <f aca="false">B159*G71+C159*G72+D159*G73+E159*G74+F159*G75+G159*G76+H159*G77+I159*G78</f>
        <v>-0.102044803037608</v>
      </c>
      <c r="D185" s="9" t="n">
        <f aca="false">B159*H71+C159*H72+D159*H73+E159*H74+F159*H75+G159*H76+H159*H77+I159*H78</f>
        <v>0.0541359065369136</v>
      </c>
      <c r="E185" s="9" t="n">
        <f aca="false">B159*I71+C159*I72+D159*I73+E159*I74+F159*I75+G159*I76+H159*I77+I159*I78</f>
        <v>0.0597866059906438</v>
      </c>
    </row>
    <row r="186" customFormat="false" ht="15" hidden="false" customHeight="false" outlineLevel="0" collapsed="false">
      <c r="A186" s="0" t="n">
        <v>5</v>
      </c>
      <c r="B186" s="9" t="n">
        <f aca="false">B160*F71+C160*F72+D160*F73+E160*F74+F160*F75+G160*F76+H160*F77+I160*F78</f>
        <v>-0.112211737374685</v>
      </c>
      <c r="C186" s="9" t="n">
        <f aca="false">B160*G71+C160*G72+D160*G73+E160*G74+F160*G75+G160*G76+H160*G77+I160*G78</f>
        <v>-0.016322273894931</v>
      </c>
      <c r="D186" s="9" t="n">
        <f aca="false">B160*H71+C160*H72+D160*H73+E160*H74+F160*H75+G160*H76+H160*H77+I160*H78</f>
        <v>0.11344621811342</v>
      </c>
      <c r="E186" s="9" t="n">
        <f aca="false">B160*I71+C160*I72+D160*I73+E160*I74+F160*I75+G160*I76+H160*I77+I160*I78</f>
        <v>-0.0174279072740076</v>
      </c>
    </row>
    <row r="187" customFormat="false" ht="15" hidden="false" customHeight="false" outlineLevel="0" collapsed="false">
      <c r="A187" s="0" t="n">
        <v>6</v>
      </c>
      <c r="B187" s="9" t="n">
        <f aca="false">B161*F71+C161*F72+D161*F73+E161*F74+F161*F75+G161*F76+H161*F77+I161*F78</f>
        <v>-0.096311332309382</v>
      </c>
      <c r="C187" s="9" t="n">
        <f aca="false">B161*G71+C161*G72+D161*G73+E161*G74+F161*G75+G161*G76+H161*G77+I161*G78</f>
        <v>-0.0520284759548241</v>
      </c>
      <c r="D187" s="9" t="n">
        <f aca="false">B161*H71+C161*H72+D161*H73+E161*H74+F161*H75+G161*H76+H161*H77+I161*H78</f>
        <v>0.102655719776382</v>
      </c>
      <c r="E187" s="9" t="n">
        <f aca="false">B161*I71+C161*I72+D161*I73+E161*I74+F161*I75+G161*I76+H161*I77+I161*I78</f>
        <v>0.0591712890010151</v>
      </c>
    </row>
    <row r="188" customFormat="false" ht="15" hidden="false" customHeight="false" outlineLevel="0" collapsed="false">
      <c r="A188" s="0" t="n">
        <v>7</v>
      </c>
      <c r="B188" s="9" t="n">
        <f aca="false">B162*F71+C162*F72+D162*F73+E162*F74+F162*F75+G162*F76+H162*F77+I162*F78</f>
        <v>-0.136685142659213</v>
      </c>
      <c r="C188" s="9" t="n">
        <f aca="false">B162*G71+C162*G72+D162*G73+E162*G74+F162*G75+G162*G76+H162*G77+I162*G78</f>
        <v>-0.016863856036015</v>
      </c>
      <c r="D188" s="9" t="n">
        <f aca="false">B162*H71+C162*H72+D162*H73+E162*H74+F162*H75+G162*H76+H162*H77+I162*H78</f>
        <v>0.0849660103137111</v>
      </c>
      <c r="E188" s="9" t="n">
        <f aca="false">B162*I71+C162*I72+D162*I73+E162*I74+F162*I75+G162*I76+H162*I77+I162*I78</f>
        <v>0.0354278195235932</v>
      </c>
    </row>
    <row r="191" customFormat="false" ht="15" hidden="false" customHeight="false" outlineLevel="0" collapsed="false">
      <c r="A191" s="2" t="s">
        <v>282</v>
      </c>
    </row>
    <row r="192" customFormat="false" ht="15" hidden="false" customHeight="false" outlineLevel="0" collapsed="false">
      <c r="B192" s="2" t="s">
        <v>283</v>
      </c>
      <c r="C192" s="2" t="s">
        <v>284</v>
      </c>
      <c r="D192" s="2" t="s">
        <v>285</v>
      </c>
      <c r="E192" s="2" t="s">
        <v>286</v>
      </c>
      <c r="F192" s="2" t="s">
        <v>287</v>
      </c>
      <c r="G192" s="2" t="s">
        <v>288</v>
      </c>
      <c r="H192" s="2" t="s">
        <v>289</v>
      </c>
      <c r="I192" s="2" t="s">
        <v>290</v>
      </c>
    </row>
    <row r="193" customFormat="false" ht="15" hidden="false" customHeight="false" outlineLevel="0" collapsed="false">
      <c r="A193" s="0" t="n">
        <v>0</v>
      </c>
      <c r="B193" s="0" t="n">
        <f aca="false">B169</f>
        <v>-0.0645173208008329</v>
      </c>
      <c r="C193" s="0" t="n">
        <f aca="false">C169</f>
        <v>-0.0907951563530803</v>
      </c>
      <c r="D193" s="0" t="n">
        <f aca="false">D169</f>
        <v>0.359869925855449</v>
      </c>
      <c r="E193" s="0" t="n">
        <f aca="false">E169</f>
        <v>-0.0842099136381986</v>
      </c>
      <c r="F193" s="0" t="n">
        <f aca="false">B181</f>
        <v>0.0267157912232325</v>
      </c>
      <c r="G193" s="0" t="n">
        <f aca="false">C181</f>
        <v>0.0303827667861344</v>
      </c>
      <c r="H193" s="0" t="n">
        <f aca="false">D181</f>
        <v>0.165818576865768</v>
      </c>
      <c r="I193" s="0" t="n">
        <f aca="false">E181</f>
        <v>0.181874989719279</v>
      </c>
    </row>
    <row r="194" customFormat="false" ht="15" hidden="false" customHeight="false" outlineLevel="0" collapsed="false">
      <c r="A194" s="0" t="n">
        <v>1</v>
      </c>
      <c r="B194" s="0" t="n">
        <f aca="false">B170</f>
        <v>-0.0995091952324595</v>
      </c>
      <c r="C194" s="0" t="n">
        <f aca="false">C170</f>
        <v>0.0396072677231332</v>
      </c>
      <c r="D194" s="0" t="n">
        <f aca="false">D170</f>
        <v>0.479507360147565</v>
      </c>
      <c r="E194" s="0" t="n">
        <f aca="false">E170</f>
        <v>-0.0423464143734185</v>
      </c>
      <c r="F194" s="0" t="n">
        <f aca="false">B182</f>
        <v>0.165749991784785</v>
      </c>
      <c r="G194" s="0" t="n">
        <f aca="false">C182</f>
        <v>-0.190210566922537</v>
      </c>
      <c r="H194" s="0" t="n">
        <f aca="false">D182</f>
        <v>0.0192506424954354</v>
      </c>
      <c r="I194" s="0" t="n">
        <f aca="false">E182</f>
        <v>0.15880232280992</v>
      </c>
    </row>
    <row r="195" customFormat="false" ht="15" hidden="false" customHeight="false" outlineLevel="0" collapsed="false">
      <c r="A195" s="0" t="n">
        <v>2</v>
      </c>
      <c r="B195" s="0" t="n">
        <f aca="false">B171</f>
        <v>-0.051179963108472</v>
      </c>
      <c r="C195" s="0" t="n">
        <f aca="false">C171</f>
        <v>0.130404308389315</v>
      </c>
      <c r="D195" s="0" t="n">
        <f aca="false">D171</f>
        <v>0.411841852250488</v>
      </c>
      <c r="E195" s="0" t="n">
        <f aca="false">E171</f>
        <v>-0.0778172310154985</v>
      </c>
      <c r="F195" s="0" t="n">
        <f aca="false">B183</f>
        <v>0.103245851761493</v>
      </c>
      <c r="G195" s="0" t="n">
        <f aca="false">C183</f>
        <v>-0.151463332947868</v>
      </c>
      <c r="H195" s="0" t="n">
        <f aca="false">D183</f>
        <v>0.16362900725397</v>
      </c>
      <c r="I195" s="0" t="n">
        <f aca="false">E183</f>
        <v>0.00862537079841788</v>
      </c>
    </row>
    <row r="196" customFormat="false" ht="15" hidden="false" customHeight="false" outlineLevel="0" collapsed="false">
      <c r="A196" s="0" t="n">
        <v>3</v>
      </c>
      <c r="B196" s="0" t="n">
        <f aca="false">B172</f>
        <v>-0.0244648584492063</v>
      </c>
      <c r="C196" s="0" t="n">
        <f aca="false">C172</f>
        <v>-0.0848438077363749</v>
      </c>
      <c r="D196" s="0" t="n">
        <f aca="false">D172</f>
        <v>0.345515938305226</v>
      </c>
      <c r="E196" s="0" t="n">
        <f aca="false">E172</f>
        <v>0.0618042943695647</v>
      </c>
      <c r="F196" s="0" t="n">
        <f aca="false">B184</f>
        <v>-0.0255975478917707</v>
      </c>
      <c r="G196" s="0" t="n">
        <f aca="false">C184</f>
        <v>-0.0380406854078212</v>
      </c>
      <c r="H196" s="0" t="n">
        <f aca="false">D184</f>
        <v>0.180918283416784</v>
      </c>
      <c r="I196" s="0" t="n">
        <f aca="false">E184</f>
        <v>-0.0126775292499774</v>
      </c>
    </row>
    <row r="197" customFormat="false" ht="15" hidden="false" customHeight="false" outlineLevel="0" collapsed="false">
      <c r="A197" s="0" t="n">
        <v>4</v>
      </c>
      <c r="B197" s="0" t="n">
        <f aca="false">B173</f>
        <v>-0.0486886812765893</v>
      </c>
      <c r="C197" s="0" t="n">
        <f aca="false">C173</f>
        <v>-0.147021087610254</v>
      </c>
      <c r="D197" s="0" t="n">
        <f aca="false">D173</f>
        <v>0.381915244138765</v>
      </c>
      <c r="E197" s="0" t="n">
        <f aca="false">E173</f>
        <v>0.119232191176934</v>
      </c>
      <c r="F197" s="0" t="n">
        <f aca="false">B185</f>
        <v>-0.0448091452086128</v>
      </c>
      <c r="G197" s="0" t="n">
        <f aca="false">C185</f>
        <v>-0.102044803037608</v>
      </c>
      <c r="H197" s="0" t="n">
        <f aca="false">D185</f>
        <v>0.0541359065369136</v>
      </c>
      <c r="I197" s="0" t="n">
        <f aca="false">E185</f>
        <v>0.0597866059906438</v>
      </c>
    </row>
    <row r="198" customFormat="false" ht="15" hidden="false" customHeight="false" outlineLevel="0" collapsed="false">
      <c r="A198" s="0" t="n">
        <v>5</v>
      </c>
      <c r="B198" s="0" t="n">
        <f aca="false">B174</f>
        <v>-0.0847264009746406</v>
      </c>
      <c r="C198" s="0" t="n">
        <f aca="false">C174</f>
        <v>-0.205711347773976</v>
      </c>
      <c r="D198" s="0" t="n">
        <f aca="false">D174</f>
        <v>0.298641040857099</v>
      </c>
      <c r="E198" s="0" t="n">
        <f aca="false">E174</f>
        <v>0.120426250171157</v>
      </c>
      <c r="F198" s="0" t="n">
        <f aca="false">B186</f>
        <v>-0.112211737374685</v>
      </c>
      <c r="G198" s="0" t="n">
        <f aca="false">C186</f>
        <v>-0.016322273894931</v>
      </c>
      <c r="H198" s="0" t="n">
        <f aca="false">D186</f>
        <v>0.11344621811342</v>
      </c>
      <c r="I198" s="0" t="n">
        <f aca="false">E186</f>
        <v>-0.0174279072740076</v>
      </c>
    </row>
    <row r="199" customFormat="false" ht="15" hidden="false" customHeight="false" outlineLevel="0" collapsed="false">
      <c r="A199" s="0" t="n">
        <v>6</v>
      </c>
      <c r="B199" s="0" t="n">
        <f aca="false">B175</f>
        <v>-0.013221552780196</v>
      </c>
      <c r="C199" s="0" t="n">
        <f aca="false">C175</f>
        <v>-0.196144457218507</v>
      </c>
      <c r="D199" s="0" t="n">
        <f aca="false">D175</f>
        <v>0.334498088446602</v>
      </c>
      <c r="E199" s="0" t="n">
        <f aca="false">E175</f>
        <v>0.133233240058919</v>
      </c>
      <c r="F199" s="0" t="n">
        <f aca="false">B187</f>
        <v>-0.096311332309382</v>
      </c>
      <c r="G199" s="0" t="n">
        <f aca="false">C187</f>
        <v>-0.0520284759548241</v>
      </c>
      <c r="H199" s="0" t="n">
        <f aca="false">D187</f>
        <v>0.102655719776382</v>
      </c>
      <c r="I199" s="0" t="n">
        <f aca="false">E187</f>
        <v>0.0591712890010151</v>
      </c>
    </row>
    <row r="200" customFormat="false" ht="15" hidden="false" customHeight="false" outlineLevel="0" collapsed="false">
      <c r="A200" s="0" t="n">
        <v>7</v>
      </c>
      <c r="B200" s="0" t="n">
        <f aca="false">B176</f>
        <v>-0.0490118649749836</v>
      </c>
      <c r="C200" s="0" t="n">
        <f aca="false">C176</f>
        <v>-0.227261909401159</v>
      </c>
      <c r="D200" s="0" t="n">
        <f aca="false">D176</f>
        <v>0.252397918092091</v>
      </c>
      <c r="E200" s="0" t="n">
        <f aca="false">E176</f>
        <v>0.117096915992096</v>
      </c>
      <c r="F200" s="0" t="n">
        <f aca="false">B188</f>
        <v>-0.136685142659213</v>
      </c>
      <c r="G200" s="0" t="n">
        <f aca="false">C188</f>
        <v>-0.016863856036015</v>
      </c>
      <c r="H200" s="0" t="n">
        <f aca="false">D188</f>
        <v>0.0849660103137111</v>
      </c>
      <c r="I200" s="0" t="n">
        <f aca="false">E188</f>
        <v>0.0354278195235932</v>
      </c>
    </row>
    <row r="203" customFormat="false" ht="15" hidden="false" customHeight="false" outlineLevel="0" collapsed="false">
      <c r="A203" s="2" t="s">
        <v>291</v>
      </c>
    </row>
    <row r="204" customFormat="false" ht="15" hidden="false" customHeight="false" outlineLevel="0" collapsed="false">
      <c r="B204" s="2" t="s">
        <v>186</v>
      </c>
      <c r="C204" s="2" t="s">
        <v>187</v>
      </c>
      <c r="D204" s="2" t="s">
        <v>188</v>
      </c>
      <c r="E204" s="2" t="s">
        <v>189</v>
      </c>
      <c r="F204" s="2" t="s">
        <v>190</v>
      </c>
      <c r="G204" s="2" t="s">
        <v>191</v>
      </c>
      <c r="H204" s="2" t="s">
        <v>192</v>
      </c>
      <c r="I204" s="2" t="s">
        <v>193</v>
      </c>
    </row>
    <row r="205" customFormat="false" ht="15" hidden="false" customHeight="false" outlineLevel="0" collapsed="false">
      <c r="A205" s="0" t="n">
        <v>0</v>
      </c>
      <c r="B205" s="9" t="n">
        <f aca="false">B193*B34+C193*B35+D193*B36+E193*B37+F193*B38+G193*B39+H193*B40+I193*B41</f>
        <v>-0.0262232190610961</v>
      </c>
      <c r="C205" s="9" t="n">
        <f aca="false">B193*C34+C193*C35+D193*C36+E193*C37+F193*C38+G193*C39+H193*C40+I193*C41</f>
        <v>0.0209301170854362</v>
      </c>
      <c r="D205" s="9" t="n">
        <f aca="false">B193*D34+C193*D35+D193*D36+E193*D37+F193*D38+G193*D39+H193*D40+I193*D41</f>
        <v>0.048421726493195</v>
      </c>
      <c r="E205" s="9" t="n">
        <f aca="false">B193*E34+C193*E35+D193*E36+E193*E37+F193*E38+G193*E39+H193*E40+I193*E41</f>
        <v>0.00139551316404653</v>
      </c>
      <c r="F205" s="9" t="n">
        <f aca="false">B193*F34+C193*F35+D193*F36+E193*F37+F193*F38+G193*F39+H193*F40+I193*F41</f>
        <v>0.121670417383</v>
      </c>
      <c r="G205" s="9" t="n">
        <f aca="false">B193*G34+C193*G35+D193*G36+E193*G37+F193*G38+G193*G39+H193*G40+I193*G41</f>
        <v>0.0543799581735369</v>
      </c>
      <c r="H205" s="9" t="n">
        <f aca="false">B193*H34+C193*H35+D193*H36+E193*H37+F193*H38+G193*H39+H193*H40+I193*H41</f>
        <v>-0.00196464311821234</v>
      </c>
      <c r="I205" s="9" t="n">
        <f aca="false">B193*I34+C193*I35+D193*I36+E193*I37+F193*I38+G193*I39+H193*I40+I193*I41</f>
        <v>-0.0779726585031906</v>
      </c>
    </row>
    <row r="206" customFormat="false" ht="15" hidden="false" customHeight="false" outlineLevel="0" collapsed="false">
      <c r="A206" s="0" t="n">
        <v>1</v>
      </c>
      <c r="B206" s="9" t="n">
        <f aca="false">B194*B34+C194*B35+D194*B36+E194*B37+F194*B38+G194*B39+H194*B40+I194*B41</f>
        <v>-0.0525873703643352</v>
      </c>
      <c r="C206" s="9" t="n">
        <f aca="false">B194*C34+C194*C35+D194*C36+E194*C37+F194*C38+G194*C39+H194*C40+I194*C41</f>
        <v>0.0257458364186307</v>
      </c>
      <c r="D206" s="9" t="n">
        <f aca="false">B194*D34+C194*D35+D194*D36+E194*D37+F194*D38+G194*D39+H194*D40+I194*D41</f>
        <v>0.0375701874243303</v>
      </c>
      <c r="E206" s="9" t="n">
        <f aca="false">B194*E34+C194*E35+D194*E36+E194*E37+F194*E38+G194*E39+H194*E40+I194*E41</f>
        <v>0.00531813298921775</v>
      </c>
      <c r="F206" s="9" t="n">
        <f aca="false">B194*F34+C194*F35+D194*F36+E194*F37+F194*F38+G194*F39+H194*F40+I194*F41</f>
        <v>0.126402186671764</v>
      </c>
      <c r="G206" s="9" t="n">
        <f aca="false">B194*G34+C194*G35+D194*G36+E194*G37+F194*G38+G194*G39+H194*G40+I194*G41</f>
        <v>0.0137438263823429</v>
      </c>
      <c r="H206" s="9" t="n">
        <f aca="false">B194*H34+C194*H35+D194*H36+E194*H37+F194*H38+G194*H39+H194*H40+I194*H41</f>
        <v>-0.0621677415740739</v>
      </c>
      <c r="I206" s="9" t="n">
        <f aca="false">B194*I34+C194*I35+D194*I36+E194*I37+F194*I38+G194*I39+H194*I40+I194*I41</f>
        <v>-0.0624245592163449</v>
      </c>
    </row>
    <row r="207" customFormat="false" ht="15" hidden="false" customHeight="false" outlineLevel="0" collapsed="false">
      <c r="A207" s="0" t="n">
        <v>2</v>
      </c>
      <c r="B207" s="9" t="n">
        <f aca="false">B195*B34+C195*B35+D195*B36+E195*B37+F195*B38+G195*B39+H195*B40+I195*B41</f>
        <v>0.00483519934923261</v>
      </c>
      <c r="C207" s="9" t="n">
        <f aca="false">B195*C34+C195*C35+D195*C36+E195*C37+F195*C38+G195*C39+H195*C40+I195*C41</f>
        <v>0.0149428579034919</v>
      </c>
      <c r="D207" s="9" t="n">
        <f aca="false">B195*D34+C195*D35+D195*D36+E195*D37+F195*D38+G195*D39+H195*D40+I195*D41</f>
        <v>0.0213267861580835</v>
      </c>
      <c r="E207" s="9" t="n">
        <f aca="false">B195*E34+C195*E35+D195*E36+E195*E37+F195*E38+G195*E39+H195*E40+I195*E41</f>
        <v>-0.00966868039635959</v>
      </c>
      <c r="F207" s="9" t="n">
        <f aca="false">B195*F34+C195*F35+D195*F36+E195*F37+F195*F38+G195*F39+H195*F40+I195*F41</f>
        <v>0.100799180601444</v>
      </c>
      <c r="G207" s="9" t="n">
        <f aca="false">B195*G34+C195*G35+D195*G36+E195*G37+F195*G38+G195*G39+H195*G40+I195*G41</f>
        <v>0.00171436143610317</v>
      </c>
      <c r="H207" s="9" t="n">
        <f aca="false">B195*H34+C195*H35+D195*H36+E195*H37+F195*H38+G195*H39+H195*H40+I195*H41</f>
        <v>-0.0427467086887018</v>
      </c>
      <c r="I207" s="9" t="n">
        <f aca="false">B195*I34+C195*I35+D195*I36+E195*I37+F195*I38+G195*I39+H195*I40+I195*I41</f>
        <v>-0.0424362019350906</v>
      </c>
    </row>
    <row r="208" customFormat="false" ht="15" hidden="false" customHeight="false" outlineLevel="0" collapsed="false">
      <c r="A208" s="0" t="n">
        <v>3</v>
      </c>
      <c r="B208" s="9" t="n">
        <f aca="false">B196*B34+C196*B35+D196*B36+E196*B37+F196*B38+G196*B39+H196*B40+I196*B41</f>
        <v>-0.017931101512548</v>
      </c>
      <c r="C208" s="9" t="n">
        <f aca="false">B196*C34+C196*C35+D196*C36+E196*C37+F196*C38+G196*C39+H196*C40+I196*C41</f>
        <v>0.0126488797366753</v>
      </c>
      <c r="D208" s="9" t="n">
        <f aca="false">B196*D34+C196*D35+D196*D36+E196*D37+F196*D38+G196*D39+H196*D40+I196*D41</f>
        <v>0.0588419525544647</v>
      </c>
      <c r="E208" s="9" t="n">
        <f aca="false">B196*E34+C196*E35+D196*E36+E196*E37+F196*E38+G196*E39+H196*E40+I196*E41</f>
        <v>0.0140637182182144</v>
      </c>
      <c r="F208" s="9" t="n">
        <f aca="false">B196*F34+C196*F35+D196*F36+E196*F37+F196*F38+G196*F39+H196*F40+I196*F41</f>
        <v>0.0912289278032129</v>
      </c>
      <c r="G208" s="9" t="n">
        <f aca="false">B196*G34+C196*G35+D196*G36+E196*G37+F196*G38+G196*G39+H196*G40+I196*G41</f>
        <v>0.0113259664651853</v>
      </c>
      <c r="H208" s="9" t="n">
        <f aca="false">B196*H34+C196*H35+D196*H36+E196*H37+F196*H38+G196*H39+H196*H40+I196*H41</f>
        <v>-0.00676719259693194</v>
      </c>
      <c r="I208" s="9" t="n">
        <f aca="false">B196*I34+C196*I35+D196*I36+E196*I37+F196*I38+G196*I39+H196*I40+I196*I41</f>
        <v>-0.0579335533587084</v>
      </c>
    </row>
    <row r="209" customFormat="false" ht="15" hidden="false" customHeight="false" outlineLevel="0" collapsed="false">
      <c r="A209" s="0" t="n">
        <v>4</v>
      </c>
      <c r="B209" s="9" t="n">
        <f aca="false">B197*B34+C197*B35+D197*B36+E197*B37+F197*B38+G197*B39+H197*B40+I197*B41</f>
        <v>-0.0483901860862778</v>
      </c>
      <c r="C209" s="9" t="n">
        <f aca="false">B197*C34+C197*C35+D197*C36+E197*C37+F197*C38+G197*C39+H197*C40+I197*C41</f>
        <v>0.012629748767454</v>
      </c>
      <c r="D209" s="9" t="n">
        <f aca="false">B197*D34+C197*D35+D197*D36+E197*D37+F197*D38+G197*D39+H197*D40+I197*D41</f>
        <v>0.0834265303227753</v>
      </c>
      <c r="E209" s="9" t="n">
        <f aca="false">B197*E34+C197*E35+D197*E36+E197*E37+F197*E38+G197*E39+H197*E40+I197*E41</f>
        <v>0.0265624737239601</v>
      </c>
      <c r="F209" s="9" t="n">
        <f aca="false">B197*F34+C197*F35+D197*F36+E197*F37+F197*F38+G197*F39+H197*F40+I197*F41</f>
        <v>0.0991183699062255</v>
      </c>
      <c r="G209" s="9" t="n">
        <f aca="false">B197*G34+C197*G35+D197*G36+E197*G37+F197*G38+G197*G39+H197*G40+I197*G41</f>
        <v>0.00505684305204281</v>
      </c>
      <c r="H209" s="9" t="n">
        <f aca="false">B197*H34+C197*H35+D197*H36+E197*H37+F197*H38+G197*H39+H197*H40+I197*H41</f>
        <v>-0.0223602941693002</v>
      </c>
      <c r="I209" s="9" t="n">
        <f aca="false">B197*I34+C197*I35+D197*I36+E197*I37+F197*I38+G197*I39+H197*I40+I197*I41</f>
        <v>-0.0759986893188874</v>
      </c>
    </row>
    <row r="210" customFormat="false" ht="15" hidden="false" customHeight="false" outlineLevel="0" collapsed="false">
      <c r="A210" s="0" t="n">
        <v>5</v>
      </c>
      <c r="B210" s="9" t="n">
        <f aca="false">B198*B34+C198*B35+D198*B36+E198*B37+F198*B38+G198*B39+H198*B40+I198*B41</f>
        <v>-0.0445570693414205</v>
      </c>
      <c r="C210" s="9" t="n">
        <f aca="false">B198*C34+C198*C35+D198*C36+E198*C37+F198*C38+G198*C39+H198*C40+I198*C41</f>
        <v>0.0112453040289274</v>
      </c>
      <c r="D210" s="9" t="n">
        <f aca="false">B198*D34+C198*D35+D198*D36+E198*D37+F198*D38+G198*D39+H198*D40+I198*D41</f>
        <v>0.0837493394013081</v>
      </c>
      <c r="E210" s="9" t="n">
        <f aca="false">B198*E34+C198*E35+D198*E36+E198*E37+F198*E38+G198*E39+H198*E40+I198*E41</f>
        <v>0.032006692298555</v>
      </c>
      <c r="F210" s="9" t="n">
        <f aca="false">B198*F34+C198*F35+D198*F36+E198*F37+F198*F38+G198*F39+H198*F40+I198*F41</f>
        <v>0.0778909445403764</v>
      </c>
      <c r="G210" s="9" t="n">
        <f aca="false">B198*G34+C198*G35+D198*G36+E198*G37+F198*G38+G198*G39+H198*G40+I198*G41</f>
        <v>0.0185528746764242</v>
      </c>
      <c r="H210" s="9" t="n">
        <f aca="false">B198*H34+C198*H35+D198*H36+E198*H37+F198*H38+G198*H39+H198*H40+I198*H41</f>
        <v>0.00161565338065906</v>
      </c>
      <c r="I210" s="9" t="n">
        <f aca="false">B198*I34+C198*I35+D198*I36+E198*I37+F198*I38+G198*I39+H198*I40+I198*I41</f>
        <v>-0.0682555176189071</v>
      </c>
    </row>
    <row r="211" customFormat="false" ht="15" hidden="false" customHeight="false" outlineLevel="0" collapsed="false">
      <c r="A211" s="0" t="n">
        <v>6</v>
      </c>
      <c r="B211" s="9" t="n">
        <f aca="false">B199*B34+C199*B35+D199*B36+E199*B37+F199*B38+G199*B39+H199*B40+I199*B41</f>
        <v>-0.0399124913043743</v>
      </c>
      <c r="C211" s="9" t="n">
        <f aca="false">B199*C34+C199*C35+D199*C36+E199*C37+F199*C38+G199*C39+H199*C40+I199*C41</f>
        <v>0.00844927010812113</v>
      </c>
      <c r="D211" s="9" t="n">
        <f aca="false">B199*D34+C199*D35+D199*D36+E199*D37+F199*D38+G199*D39+H199*D40+I199*D41</f>
        <v>0.0891854098110161</v>
      </c>
      <c r="E211" s="9" t="n">
        <f aca="false">B199*E34+C199*E35+D199*E36+E199*E37+F199*E38+G199*E39+H199*E40+I199*E41</f>
        <v>0.0262726916551483</v>
      </c>
      <c r="F211" s="9" t="n">
        <f aca="false">B199*F34+C199*F35+D199*F36+E199*F37+F199*F38+G199*F39+H199*F40+I199*F41</f>
        <v>0.0925591989672699</v>
      </c>
      <c r="G211" s="9" t="n">
        <f aca="false">B199*G34+C199*G35+D199*G36+E199*G37+F199*G38+G199*G39+H199*G40+I199*G41</f>
        <v>0.00964969489519026</v>
      </c>
      <c r="H211" s="9" t="n">
        <f aca="false">B199*H34+C199*H35+D199*H36+E199*H37+F199*H38+G199*H39+H199*H40+I199*H41</f>
        <v>-0.0040390375110745</v>
      </c>
      <c r="I211" s="9" t="n">
        <f aca="false">B199*I34+C199*I35+D199*I36+E199*I37+F199*I38+G199*I39+H199*I40+I199*I41</f>
        <v>-0.0795375536343927</v>
      </c>
    </row>
    <row r="212" customFormat="false" ht="15" hidden="false" customHeight="false" outlineLevel="0" collapsed="false">
      <c r="A212" s="0" t="n">
        <v>7</v>
      </c>
      <c r="B212" s="9" t="n">
        <f aca="false">B200*B34+C200*B35+D200*B36+E200*B37+F200*B38+G200*B39+H200*B40+I200*B41</f>
        <v>-0.0411443851461738</v>
      </c>
      <c r="C212" s="9" t="n">
        <f aca="false">B200*C34+C200*C35+D200*C36+E200*C37+F200*C38+G200*C39+H200*C40+I200*C41</f>
        <v>0.00542044509297709</v>
      </c>
      <c r="D212" s="9" t="n">
        <f aca="false">B200*D34+C200*D35+D200*D36+E200*D37+F200*D38+G200*D39+H200*D40+I200*D41</f>
        <v>0.0862002081099012</v>
      </c>
      <c r="E212" s="9" t="n">
        <f aca="false">B200*E34+C200*E35+D200*E36+E200*E37+F200*E38+G200*E39+H200*E40+I200*E41</f>
        <v>0.0296278831812138</v>
      </c>
      <c r="F212" s="9" t="n">
        <f aca="false">B200*F34+C200*F35+D200*F36+E200*F37+F200*F38+G200*F39+H200*F40+I200*F41</f>
        <v>0.0709684890814778</v>
      </c>
      <c r="G212" s="9" t="n">
        <f aca="false">B200*G34+C200*G35+D200*G36+E200*G37+F200*G38+G200*G39+H200*G40+I200*G41</f>
        <v>0.017233622169303</v>
      </c>
      <c r="H212" s="9" t="n">
        <f aca="false">B200*H34+C200*H35+D200*H36+E200*H37+F200*H38+G200*H39+H200*H40+I200*H41</f>
        <v>0.00593032629017477</v>
      </c>
      <c r="I212" s="9" t="n">
        <f aca="false">B200*I34+C200*I35+D200*I36+E200*I37+F200*I38+G200*I39+H200*I40+I200*I41</f>
        <v>-0.0725398933984527</v>
      </c>
    </row>
    <row r="215" customFormat="false" ht="15" hidden="false" customHeight="false" outlineLevel="0" collapsed="false">
      <c r="A215" s="1" t="s">
        <v>292</v>
      </c>
    </row>
    <row r="217" customFormat="false" ht="15" hidden="false" customHeight="false" outlineLevel="0" collapsed="false">
      <c r="B217" s="2" t="s">
        <v>293</v>
      </c>
      <c r="C217" s="2" t="s">
        <v>294</v>
      </c>
      <c r="D217" s="2" t="s">
        <v>295</v>
      </c>
      <c r="E217" s="2" t="s">
        <v>296</v>
      </c>
      <c r="F217" s="2" t="s">
        <v>297</v>
      </c>
      <c r="G217" s="2" t="s">
        <v>298</v>
      </c>
      <c r="H217" s="2" t="s">
        <v>299</v>
      </c>
      <c r="I217" s="2" t="s">
        <v>300</v>
      </c>
    </row>
    <row r="218" customFormat="false" ht="15" hidden="false" customHeight="false" outlineLevel="0" collapsed="false">
      <c r="A218" s="0" t="n">
        <v>0</v>
      </c>
      <c r="B218" s="10" t="n">
        <f aca="false">Embeddings!B$63+B205</f>
        <v>-0.173523219061096</v>
      </c>
      <c r="C218" s="10" t="n">
        <f aca="false">Embeddings!C$63+C205</f>
        <v>0.0326301170854362</v>
      </c>
      <c r="D218" s="10" t="n">
        <f aca="false">Embeddings!D$63+D205</f>
        <v>0.128221726493195</v>
      </c>
      <c r="E218" s="10" t="n">
        <f aca="false">Embeddings!E$63+E205</f>
        <v>0.0165955131640465</v>
      </c>
      <c r="F218" s="10" t="n">
        <f aca="false">Embeddings!F$63+F205</f>
        <v>0.188270417383</v>
      </c>
      <c r="G218" s="10" t="n">
        <f aca="false">Embeddings!G$63+G205</f>
        <v>0.0682799581735369</v>
      </c>
      <c r="H218" s="10" t="n">
        <f aca="false">Embeddings!H$63+H205</f>
        <v>-0.168564643118212</v>
      </c>
      <c r="I218" s="10" t="n">
        <f aca="false">Embeddings!I$63+I205</f>
        <v>-0.0775726585031906</v>
      </c>
    </row>
    <row r="219" customFormat="false" ht="15" hidden="false" customHeight="false" outlineLevel="0" collapsed="false">
      <c r="A219" s="0" t="n">
        <v>1</v>
      </c>
      <c r="B219" s="10" t="n">
        <f aca="false">Embeddings!B$64+B206</f>
        <v>0.0400126296356648</v>
      </c>
      <c r="C219" s="10" t="n">
        <f aca="false">Embeddings!C$64+C206</f>
        <v>0.0353458364186307</v>
      </c>
      <c r="D219" s="10" t="n">
        <f aca="false">Embeddings!D$64+D206</f>
        <v>-0.0554298125756697</v>
      </c>
      <c r="E219" s="10" t="n">
        <f aca="false">Embeddings!E$64+E206</f>
        <v>0.194718132989218</v>
      </c>
      <c r="F219" s="10" t="n">
        <f aca="false">Embeddings!F$64+F206</f>
        <v>0.290702186671764</v>
      </c>
      <c r="G219" s="10" t="n">
        <f aca="false">Embeddings!G$64+G206</f>
        <v>0.0983438263823429</v>
      </c>
      <c r="H219" s="10" t="n">
        <f aca="false">Embeddings!H$64+H206</f>
        <v>-0.324667741574074</v>
      </c>
      <c r="I219" s="10" t="n">
        <f aca="false">Embeddings!I$64+I206</f>
        <v>-0.230424559216345</v>
      </c>
    </row>
    <row r="220" customFormat="false" ht="15" hidden="false" customHeight="false" outlineLevel="0" collapsed="false">
      <c r="A220" s="0" t="n">
        <v>2</v>
      </c>
      <c r="B220" s="10" t="n">
        <f aca="false">Embeddings!B$65+B207</f>
        <v>0.130235199349233</v>
      </c>
      <c r="C220" s="10" t="n">
        <f aca="false">Embeddings!C$65+C207</f>
        <v>-0.161657142096508</v>
      </c>
      <c r="D220" s="10" t="n">
        <f aca="false">Embeddings!D$65+D207</f>
        <v>0.148026786158084</v>
      </c>
      <c r="E220" s="10" t="n">
        <f aca="false">Embeddings!E$65+E207</f>
        <v>-0.0542686803963596</v>
      </c>
      <c r="F220" s="10" t="n">
        <f aca="false">Embeddings!F$65+F207</f>
        <v>0.0289991806014436</v>
      </c>
      <c r="G220" s="10" t="n">
        <f aca="false">Embeddings!G$65+G207</f>
        <v>-0.200285638563897</v>
      </c>
      <c r="H220" s="10" t="n">
        <f aca="false">Embeddings!H$65+H207</f>
        <v>-0.499646708688702</v>
      </c>
      <c r="I220" s="10" t="n">
        <f aca="false">Embeddings!I$65+I207</f>
        <v>-0.125136201935091</v>
      </c>
    </row>
    <row r="221" customFormat="false" ht="15" hidden="false" customHeight="false" outlineLevel="0" collapsed="false">
      <c r="A221" s="0" t="n">
        <v>3</v>
      </c>
      <c r="B221" s="10" t="n">
        <f aca="false">Embeddings!B$66+B208</f>
        <v>0.00826889848745204</v>
      </c>
      <c r="C221" s="10" t="n">
        <f aca="false">Embeddings!C$66+C208</f>
        <v>0.273148879736675</v>
      </c>
      <c r="D221" s="10" t="n">
        <f aca="false">Embeddings!D$66+D208</f>
        <v>0.279141952554465</v>
      </c>
      <c r="E221" s="10" t="n">
        <f aca="false">Embeddings!E$66+E208</f>
        <v>-0.0153362817817856</v>
      </c>
      <c r="F221" s="10" t="n">
        <f aca="false">Embeddings!F$66+F208</f>
        <v>0.142628927803213</v>
      </c>
      <c r="G221" s="10" t="n">
        <f aca="false">Embeddings!G$66+G208</f>
        <v>0.0895259664651853</v>
      </c>
      <c r="H221" s="10" t="n">
        <f aca="false">Embeddings!H$66+H208</f>
        <v>0.105832807403068</v>
      </c>
      <c r="I221" s="10" t="n">
        <f aca="false">Embeddings!I$66+I208</f>
        <v>-0.125633553358708</v>
      </c>
    </row>
    <row r="222" customFormat="false" ht="15" hidden="false" customHeight="false" outlineLevel="0" collapsed="false">
      <c r="A222" s="0" t="n">
        <v>4</v>
      </c>
      <c r="B222" s="10" t="n">
        <f aca="false">Embeddings!B$67+B209</f>
        <v>-0.0333901860862778</v>
      </c>
      <c r="C222" s="10" t="n">
        <f aca="false">Embeddings!C$67+C209</f>
        <v>0.045029748767454</v>
      </c>
      <c r="D222" s="10" t="n">
        <f aca="false">Embeddings!D$67+D209</f>
        <v>-0.105573469677225</v>
      </c>
      <c r="E222" s="10" t="n">
        <f aca="false">Embeddings!E$67+E209</f>
        <v>-0.0684375262760399</v>
      </c>
      <c r="F222" s="10" t="n">
        <f aca="false">Embeddings!F$67+F209</f>
        <v>0.265618369906226</v>
      </c>
      <c r="G222" s="10" t="n">
        <f aca="false">Embeddings!G$67+G209</f>
        <v>-0.0775431569479572</v>
      </c>
      <c r="H222" s="10" t="n">
        <f aca="false">Embeddings!H$67+H209</f>
        <v>-0.00856029416930025</v>
      </c>
      <c r="I222" s="10" t="n">
        <f aca="false">Embeddings!I$67+I209</f>
        <v>-0.256998689318887</v>
      </c>
    </row>
    <row r="223" customFormat="false" ht="15" hidden="false" customHeight="false" outlineLevel="0" collapsed="false">
      <c r="A223" s="0" t="n">
        <v>5</v>
      </c>
      <c r="B223" s="10" t="n">
        <f aca="false">Embeddings!B$68+B210</f>
        <v>0.0165429306585795</v>
      </c>
      <c r="C223" s="10" t="n">
        <f aca="false">Embeddings!C$68+C210</f>
        <v>0.0636453040289274</v>
      </c>
      <c r="D223" s="10" t="n">
        <f aca="false">Embeddings!D$68+D210</f>
        <v>0.307149339401308</v>
      </c>
      <c r="E223" s="10" t="n">
        <f aca="false">Embeddings!E$68+E210</f>
        <v>0.060506692298555</v>
      </c>
      <c r="F223" s="10" t="n">
        <f aca="false">Embeddings!F$68+F210</f>
        <v>0.267790944540376</v>
      </c>
      <c r="G223" s="10" t="n">
        <f aca="false">Embeddings!G$68+G210</f>
        <v>-0.200047125323576</v>
      </c>
      <c r="H223" s="10" t="n">
        <f aca="false">Embeddings!H$68+H210</f>
        <v>0.144315653380659</v>
      </c>
      <c r="I223" s="10" t="n">
        <f aca="false">Embeddings!I$68+I210</f>
        <v>0.0672444823810929</v>
      </c>
    </row>
    <row r="224" customFormat="false" ht="15" hidden="false" customHeight="false" outlineLevel="0" collapsed="false">
      <c r="A224" s="0" t="n">
        <v>6</v>
      </c>
      <c r="B224" s="10" t="n">
        <f aca="false">Embeddings!B$69+B211</f>
        <v>-0.0798124913043743</v>
      </c>
      <c r="C224" s="10" t="n">
        <f aca="false">Embeddings!C$69+C211</f>
        <v>-0.0306507298918789</v>
      </c>
      <c r="D224" s="10" t="n">
        <f aca="false">Embeddings!D$69+D211</f>
        <v>0.0976854098110161</v>
      </c>
      <c r="E224" s="10" t="n">
        <f aca="false">Embeddings!E$69+E211</f>
        <v>-0.0944273083448518</v>
      </c>
      <c r="F224" s="10" t="n">
        <f aca="false">Embeddings!F$69+F211</f>
        <v>0.22025919896727</v>
      </c>
      <c r="G224" s="10" t="n">
        <f aca="false">Embeddings!G$69+G211</f>
        <v>0.14204969489519</v>
      </c>
      <c r="H224" s="10" t="n">
        <f aca="false">Embeddings!H$69+H211</f>
        <v>-0.0874390375110745</v>
      </c>
      <c r="I224" s="10" t="n">
        <f aca="false">Embeddings!I$69+I211</f>
        <v>-0.0831375536343927</v>
      </c>
    </row>
    <row r="225" customFormat="false" ht="15" hidden="false" customHeight="false" outlineLevel="0" collapsed="false">
      <c r="A225" s="0" t="n">
        <v>7</v>
      </c>
      <c r="B225" s="10" t="n">
        <f aca="false">Embeddings!B$70+B212</f>
        <v>0.100355614853826</v>
      </c>
      <c r="C225" s="10" t="n">
        <f aca="false">Embeddings!C$70+C212</f>
        <v>0.421420445092977</v>
      </c>
      <c r="D225" s="10" t="n">
        <f aca="false">Embeddings!D$70+D212</f>
        <v>0.224600208109901</v>
      </c>
      <c r="E225" s="10" t="n">
        <f aca="false">Embeddings!E$70+E212</f>
        <v>0.206227883181214</v>
      </c>
      <c r="F225" s="10" t="n">
        <f aca="false">Embeddings!F$70+F212</f>
        <v>0.0834684890814778</v>
      </c>
      <c r="G225" s="10" t="n">
        <f aca="false">Embeddings!G$70+G212</f>
        <v>0.026333622169303</v>
      </c>
      <c r="H225" s="10" t="n">
        <f aca="false">Embeddings!H$70+H212</f>
        <v>0.0491303262901748</v>
      </c>
      <c r="I225" s="10" t="n">
        <f aca="false">Embeddings!I$70+I212</f>
        <v>0.0643601066015473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9" min="2" style="0" width="9"/>
  </cols>
  <sheetData>
    <row r="1" customFormat="false" ht="15" hidden="false" customHeight="false" outlineLevel="0" collapsed="false">
      <c r="A1" s="5" t="s">
        <v>301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 t="s">
        <v>302</v>
      </c>
      <c r="S1" s="0" t="n">
        <v>111</v>
      </c>
    </row>
    <row r="3" customFormat="false" ht="15" hidden="false" customHeight="false" outlineLevel="0" collapsed="false">
      <c r="A3" s="0" t="s">
        <v>215</v>
      </c>
      <c r="B3" s="11" t="n">
        <v>1</v>
      </c>
      <c r="C3" s="11" t="n">
        <v>1</v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1</v>
      </c>
    </row>
    <row r="4" customFormat="false" ht="15" hidden="false" customHeight="false" outlineLevel="0" collapsed="false">
      <c r="A4" s="0" t="s">
        <v>216</v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</row>
    <row r="6" customFormat="false" ht="15" hidden="false" customHeight="false" outlineLevel="0" collapsed="false">
      <c r="A6" s="2" t="s">
        <v>185</v>
      </c>
      <c r="B6" s="2" t="s">
        <v>217</v>
      </c>
      <c r="C6" s="2" t="s">
        <v>218</v>
      </c>
    </row>
    <row r="7" customFormat="false" ht="15" hidden="false" customHeight="false" outlineLevel="0" collapsed="false">
      <c r="A7" s="0" t="n">
        <v>0</v>
      </c>
      <c r="B7" s="9" t="n">
        <f aca="false">AVERAGE(Attention!B218:I218)</f>
        <v>0.0017921514520895</v>
      </c>
      <c r="C7" s="9" t="n">
        <f aca="false">VARP(Attention!B218:I218)</f>
        <v>0.0153006273560453</v>
      </c>
    </row>
    <row r="8" customFormat="false" ht="15" hidden="false" customHeight="false" outlineLevel="0" collapsed="false">
      <c r="A8" s="0" t="n">
        <v>1</v>
      </c>
      <c r="B8" s="9" t="n">
        <f aca="false">AVERAGE(Attention!B219:I219)</f>
        <v>0.00607506234144148</v>
      </c>
      <c r="C8" s="9" t="n">
        <f aca="false">VARP(Attention!B219:I219)</f>
        <v>0.0370283240614971</v>
      </c>
    </row>
    <row r="9" customFormat="false" ht="15" hidden="false" customHeight="false" outlineLevel="0" collapsed="false">
      <c r="A9" s="0" t="n">
        <v>2</v>
      </c>
      <c r="B9" s="9" t="n">
        <f aca="false">AVERAGE(Attention!B220:I220)</f>
        <v>-0.0917166506964747</v>
      </c>
      <c r="C9" s="9" t="n">
        <f aca="false">VARP(Attention!B220:I220)</f>
        <v>0.0383646122176825</v>
      </c>
    </row>
    <row r="10" customFormat="false" ht="15" hidden="false" customHeight="false" outlineLevel="0" collapsed="false">
      <c r="A10" s="0" t="n">
        <v>3</v>
      </c>
      <c r="B10" s="9" t="n">
        <f aca="false">AVERAGE(Attention!B221:I221)</f>
        <v>0.0946971996636955</v>
      </c>
      <c r="C10" s="9" t="n">
        <f aca="false">VARP(Attention!B221:I221)</f>
        <v>0.0170544902469262</v>
      </c>
    </row>
    <row r="11" customFormat="false" ht="15" hidden="false" customHeight="false" outlineLevel="0" collapsed="false">
      <c r="A11" s="0" t="n">
        <v>4</v>
      </c>
      <c r="B11" s="9" t="n">
        <f aca="false">AVERAGE(Attention!B222:I222)</f>
        <v>-0.029981900475251</v>
      </c>
      <c r="C11" s="9" t="n">
        <f aca="false">VARP(Attention!B222:I222)</f>
        <v>0.0193085481279415</v>
      </c>
    </row>
    <row r="12" customFormat="false" ht="15" hidden="false" customHeight="false" outlineLevel="0" collapsed="false">
      <c r="A12" s="0" t="n">
        <v>5</v>
      </c>
      <c r="B12" s="9" t="n">
        <f aca="false">AVERAGE(Attention!B223:I223)</f>
        <v>0.0908935276707403</v>
      </c>
      <c r="C12" s="9" t="n">
        <f aca="false">VARP(Attention!B223:I223)</f>
        <v>0.0216640966696586</v>
      </c>
    </row>
    <row r="13" customFormat="false" ht="15" hidden="false" customHeight="false" outlineLevel="0" collapsed="false">
      <c r="A13" s="0" t="n">
        <v>6</v>
      </c>
      <c r="B13" s="9" t="n">
        <f aca="false">AVERAGE(Attention!B224:I224)</f>
        <v>0.010565897873363</v>
      </c>
      <c r="C13" s="9" t="n">
        <f aca="false">VARP(Attention!B224:I224)</f>
        <v>0.0135156274917559</v>
      </c>
    </row>
    <row r="14" customFormat="false" ht="15" hidden="false" customHeight="false" outlineLevel="0" collapsed="false">
      <c r="A14" s="0" t="n">
        <v>7</v>
      </c>
      <c r="B14" s="9" t="n">
        <f aca="false">AVERAGE(Attention!B225:I225)</f>
        <v>0.146987086922553</v>
      </c>
      <c r="C14" s="9" t="n">
        <f aca="false">VARP(Attention!B225:I225)</f>
        <v>0.0152520581366107</v>
      </c>
    </row>
    <row r="18" customFormat="false" ht="15" hidden="false" customHeight="false" outlineLevel="0" collapsed="false">
      <c r="A18" s="2" t="s">
        <v>303</v>
      </c>
    </row>
    <row r="19" customFormat="false" ht="15" hidden="false" customHeight="false" outlineLevel="0" collapsed="false">
      <c r="B19" s="2" t="s">
        <v>304</v>
      </c>
      <c r="C19" s="2" t="s">
        <v>305</v>
      </c>
      <c r="D19" s="2" t="s">
        <v>306</v>
      </c>
      <c r="E19" s="2" t="s">
        <v>307</v>
      </c>
      <c r="F19" s="2" t="s">
        <v>308</v>
      </c>
      <c r="G19" s="2" t="s">
        <v>309</v>
      </c>
      <c r="H19" s="2" t="s">
        <v>310</v>
      </c>
      <c r="I19" s="2" t="s">
        <v>311</v>
      </c>
    </row>
    <row r="20" customFormat="false" ht="15" hidden="false" customHeight="false" outlineLevel="0" collapsed="false">
      <c r="A20" s="0" t="n">
        <v>0</v>
      </c>
      <c r="B20" s="9" t="n">
        <f aca="false">B3*(Attention!B$218-B7)/SQRT(C7+Config!$B$10)+B4</f>
        <v>-1.4168487804756</v>
      </c>
      <c r="C20" s="9" t="n">
        <f aca="false">C3*(Attention!C$218-B7)/SQRT(C7+Config!$B$10)+C4</f>
        <v>0.249223635509299</v>
      </c>
      <c r="D20" s="9" t="n">
        <f aca="false">D3*(Attention!D$218-B7)/SQRT(C7+Config!$B$10)+D4</f>
        <v>1.02176773598734</v>
      </c>
      <c r="E20" s="9" t="n">
        <f aca="false">E3*(Attention!E$218-B7)/SQRT(C7+Config!$B$10)+E4</f>
        <v>0.119636543716217</v>
      </c>
      <c r="F20" s="9" t="n">
        <f aca="false">F3*(Attention!F$218-B7)/SQRT(C7+Config!$B$10)+F4</f>
        <v>1.50706411477792</v>
      </c>
      <c r="G20" s="9" t="n">
        <f aca="false">G3*(Attention!G$218-B7)/SQRT(C7+Config!$B$10)+G4</f>
        <v>0.537335474887499</v>
      </c>
      <c r="H20" s="9" t="n">
        <f aca="false">H3*(Attention!H$218-B7)/SQRT(C7+Config!$B$10)+H4</f>
        <v>-1.37677498513749</v>
      </c>
      <c r="I20" s="9" t="n">
        <f aca="false">I3*(Attention!I$218-B7)/SQRT(C7+Config!$B$10)+I4</f>
        <v>-0.641403739265175</v>
      </c>
    </row>
    <row r="21" customFormat="false" ht="15" hidden="false" customHeight="false" outlineLevel="0" collapsed="false">
      <c r="A21" s="0" t="n">
        <v>1</v>
      </c>
      <c r="B21" s="9" t="n">
        <f aca="false">B3*(Attention!B$219-B8)/SQRT(C8+Config!$B$10)+B4</f>
        <v>0.176341708636018</v>
      </c>
      <c r="C21" s="9" t="n">
        <f aca="false">C3*(Attention!C$219-B8)/SQRT(C8+Config!$B$10)+C4</f>
        <v>0.152092761072742</v>
      </c>
      <c r="D21" s="9" t="n">
        <f aca="false">D3*(Attention!D$219-B8)/SQRT(C8+Config!$B$10)+D4</f>
        <v>-0.319583152154047</v>
      </c>
      <c r="E21" s="9" t="n">
        <f aca="false">E3*(Attention!E$219-B8)/SQRT(C8+Config!$B$10)+E4</f>
        <v>0.980201117893216</v>
      </c>
      <c r="F21" s="9" t="n">
        <f aca="false">F3*(Attention!F$219-B8)/SQRT(C8+Config!$B$10)+F4</f>
        <v>1.47894022554495</v>
      </c>
      <c r="G21" s="9" t="n">
        <f aca="false">G3*(Attention!G$219-B8)/SQRT(C8+Config!$B$10)+G4</f>
        <v>0.479434231795267</v>
      </c>
      <c r="H21" s="9" t="n">
        <f aca="false">H3*(Attention!H$219-B8)/SQRT(C8+Config!$B$10)+H4</f>
        <v>-1.71856016242676</v>
      </c>
      <c r="I21" s="9" t="n">
        <f aca="false">I3*(Attention!I$219-B8)/SQRT(C8+Config!$B$10)+I4</f>
        <v>-1.22886673036139</v>
      </c>
    </row>
    <row r="22" customFormat="false" ht="15" hidden="false" customHeight="false" outlineLevel="0" collapsed="false">
      <c r="A22" s="0" t="n">
        <v>2</v>
      </c>
      <c r="B22" s="9" t="n">
        <f aca="false">B3*(Attention!B$220-B9)/SQRT(C9+Config!$B$10)+B4</f>
        <v>1.13301789557622</v>
      </c>
      <c r="C22" s="9" t="n">
        <f aca="false">C3*(Attention!C$220-B9)/SQRT(C9+Config!$B$10)+C4</f>
        <v>-0.357031619089067</v>
      </c>
      <c r="D22" s="9" t="n">
        <f aca="false">D3*(Attention!D$220-B9)/SQRT(C9+Config!$B$10)+D4</f>
        <v>1.22384023493034</v>
      </c>
      <c r="E22" s="9" t="n">
        <f aca="false">E3*(Attention!E$220-B9)/SQRT(C9+Config!$B$10)+E4</f>
        <v>0.191164076777461</v>
      </c>
      <c r="F22" s="9" t="n">
        <f aca="false">F3*(Attention!F$220-B9)/SQRT(C9+Config!$B$10)+F4</f>
        <v>0.616229137588784</v>
      </c>
      <c r="G22" s="9" t="n">
        <f aca="false">G3*(Attention!G$220-B9)/SQRT(C9+Config!$B$10)+G4</f>
        <v>-0.554222035694025</v>
      </c>
      <c r="H22" s="9" t="n">
        <f aca="false">H3*(Attention!H$220-B9)/SQRT(C9+Config!$B$10)+H4</f>
        <v>-2.0823978522975</v>
      </c>
      <c r="I22" s="9" t="n">
        <f aca="false">I3*(Attention!I$220-B9)/SQRT(C9+Config!$B$10)+I4</f>
        <v>-0.170599837792209</v>
      </c>
    </row>
    <row r="23" customFormat="false" ht="15" hidden="false" customHeight="false" outlineLevel="0" collapsed="false">
      <c r="A23" s="0" t="n">
        <v>3</v>
      </c>
      <c r="B23" s="9" t="n">
        <f aca="false">B3*(Attention!B$221-B10)/SQRT(C10+Config!$B$10)+B4</f>
        <v>-0.661621054127575</v>
      </c>
      <c r="C23" s="9" t="n">
        <f aca="false">C3*(Attention!C$221-B10)/SQRT(C10+Config!$B$10)+C4</f>
        <v>1.36607323149809</v>
      </c>
      <c r="D23" s="9" t="n">
        <f aca="false">D3*(Attention!D$221-B10)/SQRT(C10+Config!$B$10)+D4</f>
        <v>1.41195106435152</v>
      </c>
      <c r="E23" s="9" t="n">
        <f aca="false">E3*(Attention!E$221-B10)/SQRT(C10+Config!$B$10)+E4</f>
        <v>-0.842322098114972</v>
      </c>
      <c r="F23" s="9" t="n">
        <f aca="false">F3*(Attention!F$221-B10)/SQRT(C10+Config!$B$10)+F4</f>
        <v>0.366924260528456</v>
      </c>
      <c r="G23" s="9" t="n">
        <f aca="false">G3*(Attention!G$221-B10)/SQRT(C10+Config!$B$10)+G4</f>
        <v>-0.0395865325752611</v>
      </c>
      <c r="H23" s="9" t="n">
        <f aca="false">H3*(Attention!H$221-B10)/SQRT(C10+Config!$B$10)+H4</f>
        <v>0.0852446759985599</v>
      </c>
      <c r="I23" s="9" t="n">
        <f aca="false">I3*(Attention!I$221-B10)/SQRT(C10+Config!$B$10)+I4</f>
        <v>-1.68666354755882</v>
      </c>
    </row>
    <row r="24" customFormat="false" ht="15" hidden="false" customHeight="false" outlineLevel="0" collapsed="false">
      <c r="A24" s="0" t="n">
        <v>4</v>
      </c>
      <c r="B24" s="9" t="n">
        <f aca="false">B3*(Attention!B$222-B11)/SQRT(C11+Config!$B$10)+B4</f>
        <v>-0.0245215963353325</v>
      </c>
      <c r="C24" s="9" t="n">
        <f aca="false">C3*(Attention!C$222-B11)/SQRT(C11+Config!$B$10)+C4</f>
        <v>0.539686397532571</v>
      </c>
      <c r="D24" s="9" t="n">
        <f aca="false">D3*(Attention!D$222-B11)/SQRT(C11+Config!$B$10)+D4</f>
        <v>-0.543858748318545</v>
      </c>
      <c r="E24" s="9" t="n">
        <f aca="false">E3*(Attention!E$222-B11)/SQRT(C11+Config!$B$10)+E4</f>
        <v>-0.276676734384783</v>
      </c>
      <c r="F24" s="9" t="n">
        <f aca="false">F3*(Attention!F$222-B11)/SQRT(C11+Config!$B$10)+F4</f>
        <v>2.12675559919578</v>
      </c>
      <c r="G24" s="9" t="n">
        <f aca="false">G3*(Attention!G$222-B11)/SQRT(C11+Config!$B$10)+G4</f>
        <v>-0.342189025664887</v>
      </c>
      <c r="H24" s="9" t="n">
        <f aca="false">H3*(Attention!H$222-B11)/SQRT(C11+Config!$B$10)+H4</f>
        <v>0.154122055085249</v>
      </c>
      <c r="I24" s="9" t="n">
        <f aca="false">I3*(Attention!I$222-B11)/SQRT(C11+Config!$B$10)+I4</f>
        <v>-1.63331794711006</v>
      </c>
    </row>
    <row r="25" customFormat="false" ht="15" hidden="false" customHeight="false" outlineLevel="0" collapsed="false">
      <c r="A25" s="0" t="n">
        <v>5</v>
      </c>
      <c r="B25" s="9" t="n">
        <f aca="false">B3*(Attention!B$223-B12)/SQRT(C12+Config!$B$10)+B4</f>
        <v>-0.505026255639614</v>
      </c>
      <c r="C25" s="9" t="n">
        <f aca="false">C3*(Attention!C$223-B12)/SQRT(C12+Config!$B$10)+C4</f>
        <v>-0.185083495111745</v>
      </c>
      <c r="D25" s="9" t="n">
        <f aca="false">D3*(Attention!D$223-B12)/SQRT(C12+Config!$B$10)+D4</f>
        <v>1.46891709343949</v>
      </c>
      <c r="E25" s="9" t="n">
        <f aca="false">E3*(Attention!E$223-B12)/SQRT(C12+Config!$B$10)+E4</f>
        <v>-0.206402507921249</v>
      </c>
      <c r="F25" s="9" t="n">
        <f aca="false">F3*(Attention!F$223-B12)/SQRT(C12+Config!$B$10)+F4</f>
        <v>1.20157528875498</v>
      </c>
      <c r="G25" s="9" t="n">
        <f aca="false">G3*(Attention!G$223-B12)/SQRT(C12+Config!$B$10)+G4</f>
        <v>-1.97621370237325</v>
      </c>
      <c r="H25" s="9" t="n">
        <f aca="false">H3*(Attention!H$223-B12)/SQRT(C12+Config!$B$10)+H4</f>
        <v>0.362869663456451</v>
      </c>
      <c r="I25" s="9" t="n">
        <f aca="false">I3*(Attention!I$223-B12)/SQRT(C12+Config!$B$10)+I4</f>
        <v>-0.160636084605061</v>
      </c>
    </row>
    <row r="26" customFormat="false" ht="15" hidden="false" customHeight="false" outlineLevel="0" collapsed="false">
      <c r="A26" s="0" t="n">
        <v>6</v>
      </c>
      <c r="B26" s="9" t="n">
        <f aca="false">B3*(Attention!B$224-B13)/SQRT(C13+Config!$B$10)+B4</f>
        <v>-0.777116062062575</v>
      </c>
      <c r="C26" s="9" t="n">
        <f aca="false">C3*(Attention!C$224-B13)/SQRT(C13+Config!$B$10)+C4</f>
        <v>-0.354400025845046</v>
      </c>
      <c r="D26" s="9" t="n">
        <f aca="false">D3*(Attention!D$224-B13)/SQRT(C13+Config!$B$10)+D4</f>
        <v>0.749094696882242</v>
      </c>
      <c r="E26" s="9" t="n">
        <f aca="false">E3*(Attention!E$224-B13)/SQRT(C13+Config!$B$10)+E4</f>
        <v>-0.902781159322999</v>
      </c>
      <c r="F26" s="9" t="n">
        <f aca="false">F3*(Attention!F$224-B13)/SQRT(C13+Config!$B$10)+F4</f>
        <v>1.80304200893126</v>
      </c>
      <c r="G26" s="9" t="n">
        <f aca="false">G3*(Attention!G$224-B13)/SQRT(C13+Config!$B$10)+G4</f>
        <v>1.13055976651337</v>
      </c>
      <c r="H26" s="9" t="n">
        <f aca="false">H3*(Attention!H$224-B13)/SQRT(C13+Config!$B$10)+H4</f>
        <v>-0.842692707200979</v>
      </c>
      <c r="I26" s="9" t="n">
        <f aca="false">I3*(Attention!I$224-B13)/SQRT(C13+Config!$B$10)+I4</f>
        <v>-0.805706517895273</v>
      </c>
    </row>
    <row r="27" customFormat="false" ht="15" hidden="false" customHeight="false" outlineLevel="0" collapsed="false">
      <c r="A27" s="0" t="n">
        <v>7</v>
      </c>
      <c r="B27" s="9" t="n">
        <f aca="false">B3*(Attention!B$225-B14)/SQRT(C14+Config!$B$10)+B4</f>
        <v>-0.377461423814805</v>
      </c>
      <c r="C27" s="9" t="n">
        <f aca="false">C3*(Attention!C$225-B14)/SQRT(C14+Config!$B$10)+C4</f>
        <v>2.22141831518028</v>
      </c>
      <c r="D27" s="9" t="n">
        <f aca="false">D3*(Attention!D$225-B14)/SQRT(C14+Config!$B$10)+D4</f>
        <v>0.628244357950153</v>
      </c>
      <c r="E27" s="9" t="n">
        <f aca="false">E3*(Attention!E$225-B14)/SQRT(C14+Config!$B$10)+E4</f>
        <v>0.47952840242231</v>
      </c>
      <c r="F27" s="9" t="n">
        <f aca="false">F3*(Attention!F$225-B14)/SQRT(C14+Config!$B$10)+F4</f>
        <v>-0.514155340077534</v>
      </c>
      <c r="G27" s="9" t="n">
        <f aca="false">G3*(Attention!G$225-B14)/SQRT(C14+Config!$B$10)+G4</f>
        <v>-0.976637163133734</v>
      </c>
      <c r="H27" s="9" t="n">
        <f aca="false">H3*(Attention!H$225-B14)/SQRT(C14+Config!$B$10)+H4</f>
        <v>-0.792107788142804</v>
      </c>
      <c r="I27" s="9" t="n">
        <f aca="false">I3*(Attention!I$225-B14)/SQRT(C14+Config!$B$10)+I4</f>
        <v>-0.668829360383868</v>
      </c>
    </row>
    <row r="30" customFormat="false" ht="15" hidden="false" customHeight="false" outlineLevel="0" collapsed="false">
      <c r="A30" s="1" t="s">
        <v>312</v>
      </c>
    </row>
    <row r="32" customFormat="false" ht="15" hidden="false" customHeight="false" outlineLevel="0" collapsed="false">
      <c r="A32" s="2" t="s">
        <v>313</v>
      </c>
    </row>
    <row r="33" customFormat="false" ht="15" hidden="false" customHeight="false" outlineLevel="0" collapsed="false">
      <c r="B33" s="11" t="n">
        <v>-0.0751</v>
      </c>
      <c r="C33" s="11" t="n">
        <v>0.1316</v>
      </c>
      <c r="D33" s="11" t="n">
        <v>0.1246</v>
      </c>
      <c r="E33" s="11" t="n">
        <v>-0.1605</v>
      </c>
      <c r="F33" s="11" t="n">
        <v>-0.1468</v>
      </c>
      <c r="G33" s="11" t="n">
        <v>-0.1715</v>
      </c>
      <c r="H33" s="11" t="n">
        <v>0.1859</v>
      </c>
      <c r="I33" s="11" t="n">
        <v>0.0088</v>
      </c>
      <c r="J33" s="11" t="n">
        <v>-0.0052</v>
      </c>
      <c r="K33" s="11" t="n">
        <v>0.0555</v>
      </c>
      <c r="L33" s="11" t="n">
        <v>-0.0963</v>
      </c>
      <c r="M33" s="11" t="n">
        <v>-0.018</v>
      </c>
      <c r="N33" s="11" t="n">
        <v>-0.1183</v>
      </c>
      <c r="O33" s="11" t="n">
        <v>0.0605</v>
      </c>
      <c r="P33" s="11" t="n">
        <v>-0.0952</v>
      </c>
      <c r="Q33" s="11" t="n">
        <v>0.0361</v>
      </c>
    </row>
    <row r="34" customFormat="false" ht="15" hidden="false" customHeight="false" outlineLevel="0" collapsed="false">
      <c r="B34" s="11" t="n">
        <v>0.1061</v>
      </c>
      <c r="C34" s="11" t="n">
        <v>-0.0117</v>
      </c>
      <c r="D34" s="11" t="n">
        <v>0.0826</v>
      </c>
      <c r="E34" s="11" t="n">
        <v>-0.121</v>
      </c>
      <c r="F34" s="11" t="n">
        <v>-0.1191</v>
      </c>
      <c r="G34" s="11" t="n">
        <v>0.022</v>
      </c>
      <c r="H34" s="11" t="n">
        <v>-0.0213</v>
      </c>
      <c r="I34" s="11" t="n">
        <v>-0.1411</v>
      </c>
      <c r="J34" s="11" t="n">
        <v>-0.0483</v>
      </c>
      <c r="K34" s="11" t="n">
        <v>0.1202</v>
      </c>
      <c r="L34" s="11" t="n">
        <v>-0.0706</v>
      </c>
      <c r="M34" s="11" t="n">
        <v>0.0025</v>
      </c>
      <c r="N34" s="11" t="n">
        <v>-0.0391</v>
      </c>
      <c r="O34" s="11" t="n">
        <v>0.0193</v>
      </c>
      <c r="P34" s="11" t="n">
        <v>0.0349</v>
      </c>
      <c r="Q34" s="11" t="n">
        <v>0.0591</v>
      </c>
    </row>
    <row r="35" customFormat="false" ht="15" hidden="false" customHeight="false" outlineLevel="0" collapsed="false">
      <c r="B35" s="11" t="n">
        <v>0.052</v>
      </c>
      <c r="C35" s="11" t="n">
        <v>0.0825</v>
      </c>
      <c r="D35" s="11" t="n">
        <v>0.0426</v>
      </c>
      <c r="E35" s="11" t="n">
        <v>0.0196</v>
      </c>
      <c r="F35" s="11" t="n">
        <v>-0.0514</v>
      </c>
      <c r="G35" s="11" t="n">
        <v>-0.3074</v>
      </c>
      <c r="H35" s="11" t="n">
        <v>-0.0395</v>
      </c>
      <c r="I35" s="11" t="n">
        <v>-0.0795</v>
      </c>
      <c r="J35" s="11" t="n">
        <v>-0.0703</v>
      </c>
      <c r="K35" s="11" t="n">
        <v>-0.1737</v>
      </c>
      <c r="L35" s="11" t="n">
        <v>0.0751</v>
      </c>
      <c r="M35" s="11" t="n">
        <v>-0.1864</v>
      </c>
      <c r="N35" s="11" t="n">
        <v>0.0419</v>
      </c>
      <c r="O35" s="11" t="n">
        <v>-0.0235</v>
      </c>
      <c r="P35" s="11" t="n">
        <v>0.0432</v>
      </c>
      <c r="Q35" s="11" t="n">
        <v>0.087</v>
      </c>
    </row>
    <row r="36" customFormat="false" ht="15" hidden="false" customHeight="false" outlineLevel="0" collapsed="false">
      <c r="B36" s="11" t="n">
        <v>0.2009</v>
      </c>
      <c r="C36" s="11" t="n">
        <v>0.1372</v>
      </c>
      <c r="D36" s="11" t="n">
        <v>0.1059</v>
      </c>
      <c r="E36" s="11" t="n">
        <v>0.1445</v>
      </c>
      <c r="F36" s="11" t="n">
        <v>0.0049</v>
      </c>
      <c r="G36" s="11" t="n">
        <v>0.009</v>
      </c>
      <c r="H36" s="11" t="n">
        <v>-0.048</v>
      </c>
      <c r="I36" s="11" t="n">
        <v>0.0301</v>
      </c>
      <c r="J36" s="11" t="n">
        <v>0.1113</v>
      </c>
      <c r="K36" s="11" t="n">
        <v>-0.0019</v>
      </c>
      <c r="L36" s="11" t="n">
        <v>-0.0001</v>
      </c>
      <c r="M36" s="11" t="n">
        <v>-0.0639</v>
      </c>
      <c r="N36" s="11" t="n">
        <v>0.1595</v>
      </c>
      <c r="O36" s="11" t="n">
        <v>0.0019</v>
      </c>
      <c r="P36" s="11" t="n">
        <v>0.0561</v>
      </c>
      <c r="Q36" s="11" t="n">
        <v>-0.0198</v>
      </c>
    </row>
    <row r="37" customFormat="false" ht="15" hidden="false" customHeight="false" outlineLevel="0" collapsed="false">
      <c r="B37" s="11" t="n">
        <v>0.0463</v>
      </c>
      <c r="C37" s="11" t="n">
        <v>-0.1819</v>
      </c>
      <c r="D37" s="11" t="n">
        <v>0.0133</v>
      </c>
      <c r="E37" s="11" t="n">
        <v>-0.0617</v>
      </c>
      <c r="F37" s="11" t="n">
        <v>0.1308</v>
      </c>
      <c r="G37" s="11" t="n">
        <v>0.0776</v>
      </c>
      <c r="H37" s="11" t="n">
        <v>-0.028</v>
      </c>
      <c r="I37" s="11" t="n">
        <v>-0.0724</v>
      </c>
      <c r="J37" s="11" t="n">
        <v>-0.0943</v>
      </c>
      <c r="K37" s="11" t="n">
        <v>0.0562</v>
      </c>
      <c r="L37" s="11" t="n">
        <v>-0.0693</v>
      </c>
      <c r="M37" s="11" t="n">
        <v>0.1702</v>
      </c>
      <c r="N37" s="11" t="n">
        <v>-0.1052</v>
      </c>
      <c r="O37" s="11" t="n">
        <v>-0.0661</v>
      </c>
      <c r="P37" s="11" t="n">
        <v>-0.1011</v>
      </c>
      <c r="Q37" s="11" t="n">
        <v>-0.1459</v>
      </c>
    </row>
    <row r="38" customFormat="false" ht="15" hidden="false" customHeight="false" outlineLevel="0" collapsed="false">
      <c r="B38" s="11" t="n">
        <v>0.0391</v>
      </c>
      <c r="C38" s="11" t="n">
        <v>-0.081</v>
      </c>
      <c r="D38" s="11" t="n">
        <v>0.1158</v>
      </c>
      <c r="E38" s="11" t="n">
        <v>0.0032</v>
      </c>
      <c r="F38" s="11" t="n">
        <v>-0.1897</v>
      </c>
      <c r="G38" s="11" t="n">
        <v>-0.0865</v>
      </c>
      <c r="H38" s="11" t="n">
        <v>-0.0057</v>
      </c>
      <c r="I38" s="11" t="n">
        <v>0.1231</v>
      </c>
      <c r="J38" s="11" t="n">
        <v>-0.0534</v>
      </c>
      <c r="K38" s="11" t="n">
        <v>-0.0336</v>
      </c>
      <c r="L38" s="11" t="n">
        <v>-0.1556</v>
      </c>
      <c r="M38" s="11" t="n">
        <v>0.1219</v>
      </c>
      <c r="N38" s="11" t="n">
        <v>-0.2258</v>
      </c>
      <c r="O38" s="11" t="n">
        <v>0.0221</v>
      </c>
      <c r="P38" s="11" t="n">
        <v>-0.0055</v>
      </c>
      <c r="Q38" s="11" t="n">
        <v>0.0281</v>
      </c>
    </row>
    <row r="39" customFormat="false" ht="15" hidden="false" customHeight="false" outlineLevel="0" collapsed="false">
      <c r="B39" s="11" t="n">
        <v>0.0599</v>
      </c>
      <c r="C39" s="11" t="n">
        <v>0.1027</v>
      </c>
      <c r="D39" s="11" t="n">
        <v>0.0007</v>
      </c>
      <c r="E39" s="11" t="n">
        <v>-0.1753</v>
      </c>
      <c r="F39" s="11" t="n">
        <v>0.1549</v>
      </c>
      <c r="G39" s="11" t="n">
        <v>-0.0645</v>
      </c>
      <c r="H39" s="11" t="n">
        <v>0.0879</v>
      </c>
      <c r="I39" s="11" t="n">
        <v>-0.0318</v>
      </c>
      <c r="J39" s="11" t="n">
        <v>0.0727</v>
      </c>
      <c r="K39" s="11" t="n">
        <v>-0.0066</v>
      </c>
      <c r="L39" s="11" t="n">
        <v>-0.0451</v>
      </c>
      <c r="M39" s="11" t="n">
        <v>0.0854</v>
      </c>
      <c r="N39" s="11" t="n">
        <v>-0.2536</v>
      </c>
      <c r="O39" s="11" t="n">
        <v>-0.0387</v>
      </c>
      <c r="P39" s="11" t="n">
        <v>-0.0021</v>
      </c>
      <c r="Q39" s="11" t="n">
        <v>0.0316</v>
      </c>
    </row>
    <row r="40" customFormat="false" ht="15" hidden="false" customHeight="false" outlineLevel="0" collapsed="false">
      <c r="B40" s="11" t="n">
        <v>-0.063</v>
      </c>
      <c r="C40" s="11" t="n">
        <v>-0.198</v>
      </c>
      <c r="D40" s="11" t="n">
        <v>0.0277</v>
      </c>
      <c r="E40" s="11" t="n">
        <v>-0.1236</v>
      </c>
      <c r="F40" s="11" t="n">
        <v>0.0573</v>
      </c>
      <c r="G40" s="11" t="n">
        <v>0.0318</v>
      </c>
      <c r="H40" s="11" t="n">
        <v>-0.0079</v>
      </c>
      <c r="I40" s="11" t="n">
        <v>0.1477</v>
      </c>
      <c r="J40" s="11" t="n">
        <v>0.1128</v>
      </c>
      <c r="K40" s="11" t="n">
        <v>-0.1085</v>
      </c>
      <c r="L40" s="11" t="n">
        <v>-0.1851</v>
      </c>
      <c r="M40" s="11" t="n">
        <v>0.1333</v>
      </c>
      <c r="N40" s="11" t="n">
        <v>0.2241</v>
      </c>
      <c r="O40" s="11" t="n">
        <v>-0.0783</v>
      </c>
      <c r="P40" s="11" t="n">
        <v>0.0244</v>
      </c>
      <c r="Q40" s="11" t="n">
        <v>-0.101</v>
      </c>
    </row>
    <row r="42" customFormat="false" ht="15" hidden="false" customHeight="false" outlineLevel="0" collapsed="false">
      <c r="A42" s="2" t="s">
        <v>314</v>
      </c>
    </row>
    <row r="43" customFormat="false" ht="15" hidden="false" customHeight="false" outlineLevel="0" collapsed="false"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</row>
    <row r="46" customFormat="false" ht="15" hidden="false" customHeight="false" outlineLevel="0" collapsed="false">
      <c r="A46" s="2" t="s">
        <v>315</v>
      </c>
    </row>
    <row r="47" customFormat="false" ht="15" hidden="false" customHeight="false" outlineLevel="0" collapsed="false">
      <c r="B47" s="11" t="n">
        <v>-0.0718</v>
      </c>
      <c r="C47" s="11" t="n">
        <v>0.2901</v>
      </c>
      <c r="D47" s="11" t="n">
        <v>0.0386</v>
      </c>
      <c r="E47" s="11" t="n">
        <v>0.004</v>
      </c>
      <c r="F47" s="11" t="n">
        <v>0.0108</v>
      </c>
      <c r="G47" s="11" t="n">
        <v>-0.1285</v>
      </c>
      <c r="H47" s="11" t="n">
        <v>0.0342</v>
      </c>
      <c r="I47" s="11" t="n">
        <v>0.1832</v>
      </c>
    </row>
    <row r="48" customFormat="false" ht="15" hidden="false" customHeight="false" outlineLevel="0" collapsed="false">
      <c r="B48" s="11" t="n">
        <v>0.1449</v>
      </c>
      <c r="C48" s="11" t="n">
        <v>-0.0528</v>
      </c>
      <c r="D48" s="11" t="n">
        <v>-0.0911</v>
      </c>
      <c r="E48" s="11" t="n">
        <v>0.0651</v>
      </c>
      <c r="F48" s="11" t="n">
        <v>0.0016</v>
      </c>
      <c r="G48" s="11" t="n">
        <v>-0.0137</v>
      </c>
      <c r="H48" s="11" t="n">
        <v>-0.0778</v>
      </c>
      <c r="I48" s="11" t="n">
        <v>0.0797</v>
      </c>
    </row>
    <row r="49" customFormat="false" ht="15" hidden="false" customHeight="false" outlineLevel="0" collapsed="false">
      <c r="B49" s="11" t="n">
        <v>0.0038</v>
      </c>
      <c r="C49" s="11" t="n">
        <v>-0.006</v>
      </c>
      <c r="D49" s="11" t="n">
        <v>0.0007</v>
      </c>
      <c r="E49" s="11" t="n">
        <v>0.0385</v>
      </c>
      <c r="F49" s="11" t="n">
        <v>-0.1027</v>
      </c>
      <c r="G49" s="11" t="n">
        <v>-0.108</v>
      </c>
      <c r="H49" s="11" t="n">
        <v>-0.2574</v>
      </c>
      <c r="I49" s="11" t="n">
        <v>0.0305</v>
      </c>
    </row>
    <row r="50" customFormat="false" ht="15" hidden="false" customHeight="false" outlineLevel="0" collapsed="false">
      <c r="B50" s="11" t="n">
        <v>0.1892</v>
      </c>
      <c r="C50" s="11" t="n">
        <v>0.1016</v>
      </c>
      <c r="D50" s="11" t="n">
        <v>-0.0044</v>
      </c>
      <c r="E50" s="11" t="n">
        <v>-0.1158</v>
      </c>
      <c r="F50" s="11" t="n">
        <v>-0.0396</v>
      </c>
      <c r="G50" s="11" t="n">
        <v>-0.067</v>
      </c>
      <c r="H50" s="11" t="n">
        <v>0.032</v>
      </c>
      <c r="I50" s="11" t="n">
        <v>-0.0296</v>
      </c>
    </row>
    <row r="51" customFormat="false" ht="15" hidden="false" customHeight="false" outlineLevel="0" collapsed="false">
      <c r="B51" s="11" t="n">
        <v>0.0407</v>
      </c>
      <c r="C51" s="11" t="n">
        <v>-0.0445</v>
      </c>
      <c r="D51" s="11" t="n">
        <v>-0.1391</v>
      </c>
      <c r="E51" s="11" t="n">
        <v>0.1676</v>
      </c>
      <c r="F51" s="11" t="n">
        <v>-0.1381</v>
      </c>
      <c r="G51" s="11" t="n">
        <v>-0.1277</v>
      </c>
      <c r="H51" s="11" t="n">
        <v>-0.0776</v>
      </c>
      <c r="I51" s="11" t="n">
        <v>-0.0593</v>
      </c>
    </row>
    <row r="52" customFormat="false" ht="15" hidden="false" customHeight="false" outlineLevel="0" collapsed="false">
      <c r="B52" s="11" t="n">
        <v>0.0755</v>
      </c>
      <c r="C52" s="11" t="n">
        <v>0.0361</v>
      </c>
      <c r="D52" s="11" t="n">
        <v>-0.0493</v>
      </c>
      <c r="E52" s="11" t="n">
        <v>0.0476</v>
      </c>
      <c r="F52" s="11" t="n">
        <v>0.2204</v>
      </c>
      <c r="G52" s="11" t="n">
        <v>0.0367</v>
      </c>
      <c r="H52" s="11" t="n">
        <v>0.0215</v>
      </c>
      <c r="I52" s="11" t="n">
        <v>0.0706</v>
      </c>
    </row>
    <row r="53" customFormat="false" ht="15" hidden="false" customHeight="false" outlineLevel="0" collapsed="false">
      <c r="B53" s="11" t="n">
        <v>-0.0904</v>
      </c>
      <c r="C53" s="11" t="n">
        <v>0.2795</v>
      </c>
      <c r="D53" s="11" t="n">
        <v>0.1517</v>
      </c>
      <c r="E53" s="11" t="n">
        <v>-0.0571</v>
      </c>
      <c r="F53" s="11" t="n">
        <v>0.0559</v>
      </c>
      <c r="G53" s="11" t="n">
        <v>-0.2099</v>
      </c>
      <c r="H53" s="11" t="n">
        <v>0.0326</v>
      </c>
      <c r="I53" s="11" t="n">
        <v>0.0002</v>
      </c>
    </row>
    <row r="54" customFormat="false" ht="15" hidden="false" customHeight="false" outlineLevel="0" collapsed="false">
      <c r="B54" s="11" t="n">
        <v>0.0383</v>
      </c>
      <c r="C54" s="11" t="n">
        <v>-0.0652</v>
      </c>
      <c r="D54" s="11" t="n">
        <v>0.1086</v>
      </c>
      <c r="E54" s="11" t="n">
        <v>-0.0944</v>
      </c>
      <c r="F54" s="11" t="n">
        <v>0.1196</v>
      </c>
      <c r="G54" s="11" t="n">
        <v>-0.0415</v>
      </c>
      <c r="H54" s="11" t="n">
        <v>-0.1856</v>
      </c>
      <c r="I54" s="11" t="n">
        <v>-0.05</v>
      </c>
    </row>
    <row r="55" customFormat="false" ht="15" hidden="false" customHeight="false" outlineLevel="0" collapsed="false">
      <c r="B55" s="11" t="n">
        <v>0.1786</v>
      </c>
      <c r="C55" s="11" t="n">
        <v>-0.1637</v>
      </c>
      <c r="D55" s="11" t="n">
        <v>-0.1079</v>
      </c>
      <c r="E55" s="11" t="n">
        <v>0.0319</v>
      </c>
      <c r="F55" s="11" t="n">
        <v>-0.1002</v>
      </c>
      <c r="G55" s="11" t="n">
        <v>-0.0456</v>
      </c>
      <c r="H55" s="11" t="n">
        <v>-0.081</v>
      </c>
      <c r="I55" s="11" t="n">
        <v>0.0634</v>
      </c>
    </row>
    <row r="56" customFormat="false" ht="15" hidden="false" customHeight="false" outlineLevel="0" collapsed="false">
      <c r="B56" s="11" t="n">
        <v>-0.026</v>
      </c>
      <c r="C56" s="11" t="n">
        <v>0.1197</v>
      </c>
      <c r="D56" s="11" t="n">
        <v>-0.1638</v>
      </c>
      <c r="E56" s="11" t="n">
        <v>0.1429</v>
      </c>
      <c r="F56" s="11" t="n">
        <v>0.0769</v>
      </c>
      <c r="G56" s="11" t="n">
        <v>0.0173</v>
      </c>
      <c r="H56" s="11" t="n">
        <v>0.0382</v>
      </c>
      <c r="I56" s="11" t="n">
        <v>-0.0508</v>
      </c>
    </row>
    <row r="57" customFormat="false" ht="15" hidden="false" customHeight="false" outlineLevel="0" collapsed="false">
      <c r="B57" s="11" t="n">
        <v>-0.0974</v>
      </c>
      <c r="C57" s="11" t="n">
        <v>0.1708</v>
      </c>
      <c r="D57" s="11" t="n">
        <v>-0.0143</v>
      </c>
      <c r="E57" s="11" t="n">
        <v>-0.1192</v>
      </c>
      <c r="F57" s="11" t="n">
        <v>0.042</v>
      </c>
      <c r="G57" s="11" t="n">
        <v>0.0211</v>
      </c>
      <c r="H57" s="11" t="n">
        <v>0.0794</v>
      </c>
      <c r="I57" s="11" t="n">
        <v>-0.0494</v>
      </c>
    </row>
    <row r="58" customFormat="false" ht="15" hidden="false" customHeight="false" outlineLevel="0" collapsed="false">
      <c r="B58" s="11" t="n">
        <v>-0.0924</v>
      </c>
      <c r="C58" s="11" t="n">
        <v>-0.1125</v>
      </c>
      <c r="D58" s="11" t="n">
        <v>-0.1098</v>
      </c>
      <c r="E58" s="11" t="n">
        <v>0.0658</v>
      </c>
      <c r="F58" s="11" t="n">
        <v>0.0449</v>
      </c>
      <c r="G58" s="11" t="n">
        <v>0.0836</v>
      </c>
      <c r="H58" s="11" t="n">
        <v>0.0438</v>
      </c>
      <c r="I58" s="11" t="n">
        <v>-0.0549</v>
      </c>
    </row>
    <row r="59" customFormat="false" ht="15" hidden="false" customHeight="false" outlineLevel="0" collapsed="false">
      <c r="B59" s="11" t="n">
        <v>0.2327</v>
      </c>
      <c r="C59" s="11" t="n">
        <v>-0.0195</v>
      </c>
      <c r="D59" s="11" t="n">
        <v>-0.1768</v>
      </c>
      <c r="E59" s="11" t="n">
        <v>0.0817</v>
      </c>
      <c r="F59" s="11" t="n">
        <v>-0.0395</v>
      </c>
      <c r="G59" s="11" t="n">
        <v>-0.0297</v>
      </c>
      <c r="H59" s="11" t="n">
        <v>-0.0244</v>
      </c>
      <c r="I59" s="11" t="n">
        <v>0.0331</v>
      </c>
    </row>
    <row r="60" customFormat="false" ht="15" hidden="false" customHeight="false" outlineLevel="0" collapsed="false">
      <c r="B60" s="11" t="n">
        <v>-0.119</v>
      </c>
      <c r="C60" s="11" t="n">
        <v>-0.0442</v>
      </c>
      <c r="D60" s="11" t="n">
        <v>-0.0003</v>
      </c>
      <c r="E60" s="11" t="n">
        <v>0.1296</v>
      </c>
      <c r="F60" s="11" t="n">
        <v>-0.0864</v>
      </c>
      <c r="G60" s="11" t="n">
        <v>-0.0602</v>
      </c>
      <c r="H60" s="11" t="n">
        <v>0.117</v>
      </c>
      <c r="I60" s="11" t="n">
        <v>0.0592</v>
      </c>
    </row>
    <row r="61" customFormat="false" ht="15" hidden="false" customHeight="false" outlineLevel="0" collapsed="false">
      <c r="B61" s="11" t="n">
        <v>0.0161</v>
      </c>
      <c r="C61" s="11" t="n">
        <v>-0.0747</v>
      </c>
      <c r="D61" s="11" t="n">
        <v>0.104</v>
      </c>
      <c r="E61" s="11" t="n">
        <v>-0.0043</v>
      </c>
      <c r="F61" s="11" t="n">
        <v>0.0071</v>
      </c>
      <c r="G61" s="11" t="n">
        <v>0.0077</v>
      </c>
      <c r="H61" s="11" t="n">
        <v>0.009</v>
      </c>
      <c r="I61" s="11" t="n">
        <v>0.0832</v>
      </c>
    </row>
    <row r="62" customFormat="false" ht="15" hidden="false" customHeight="false" outlineLevel="0" collapsed="false">
      <c r="B62" s="11" t="n">
        <v>-0.0309</v>
      </c>
      <c r="C62" s="11" t="n">
        <v>-0.2334</v>
      </c>
      <c r="D62" s="11" t="n">
        <v>-0.0362</v>
      </c>
      <c r="E62" s="11" t="n">
        <v>-0.0066</v>
      </c>
      <c r="F62" s="11" t="n">
        <v>0.0103</v>
      </c>
      <c r="G62" s="11" t="n">
        <v>-0.0722</v>
      </c>
      <c r="H62" s="11" t="n">
        <v>-0.1358</v>
      </c>
      <c r="I62" s="11" t="n">
        <v>0.0513</v>
      </c>
    </row>
    <row r="64" customFormat="false" ht="15" hidden="false" customHeight="false" outlineLevel="0" collapsed="false">
      <c r="A64" s="2" t="s">
        <v>316</v>
      </c>
    </row>
    <row r="65" customFormat="false" ht="15" hidden="false" customHeight="false" outlineLevel="0" collapsed="false"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</row>
    <row r="69" customFormat="false" ht="15" hidden="false" customHeight="false" outlineLevel="0" collapsed="false">
      <c r="A69" s="1" t="s">
        <v>317</v>
      </c>
    </row>
    <row r="71" customFormat="false" ht="15" hidden="false" customHeight="false" outlineLevel="0" collapsed="false">
      <c r="A71" s="2" t="s">
        <v>318</v>
      </c>
    </row>
    <row r="72" customFormat="false" ht="15" hidden="false" customHeight="false" outlineLevel="0" collapsed="false">
      <c r="B72" s="2" t="s">
        <v>319</v>
      </c>
      <c r="C72" s="2" t="s">
        <v>320</v>
      </c>
      <c r="D72" s="2" t="s">
        <v>321</v>
      </c>
      <c r="E72" s="2" t="s">
        <v>322</v>
      </c>
      <c r="F72" s="2" t="s">
        <v>323</v>
      </c>
      <c r="G72" s="2" t="s">
        <v>324</v>
      </c>
      <c r="H72" s="2" t="s">
        <v>325</v>
      </c>
      <c r="I72" s="2" t="s">
        <v>326</v>
      </c>
      <c r="J72" s="2" t="s">
        <v>327</v>
      </c>
      <c r="K72" s="2" t="s">
        <v>328</v>
      </c>
      <c r="L72" s="2" t="s">
        <v>329</v>
      </c>
      <c r="M72" s="2" t="s">
        <v>330</v>
      </c>
      <c r="N72" s="2" t="s">
        <v>331</v>
      </c>
      <c r="O72" s="2" t="s">
        <v>332</v>
      </c>
      <c r="P72" s="2" t="s">
        <v>333</v>
      </c>
      <c r="Q72" s="2" t="s">
        <v>334</v>
      </c>
    </row>
    <row r="73" customFormat="false" ht="15" hidden="false" customHeight="false" outlineLevel="0" collapsed="false">
      <c r="A73" s="0" t="n">
        <v>0</v>
      </c>
      <c r="B73" s="9" t="n">
        <f aca="false">B20*B33+C20*B34+D20*B35+E20*B36+F20*B37+G20*B38+H20*B39+I20*B40+B43</f>
        <v>0.258741374591473</v>
      </c>
      <c r="C73" s="9" t="n">
        <f aca="false">B20*C33+C20*C34+D20*C35+E20*C36+F20*C37+G20*C38+H20*C39+I20*C40+C43</f>
        <v>-0.420719230572334</v>
      </c>
      <c r="D73" s="9" t="n">
        <f aca="false">B20*D33+C20*D34+D20*D35+E20*D36+F20*D37+G20*D38+H20*D39+I20*D40+D43</f>
        <v>-0.036219895570307</v>
      </c>
      <c r="E73" s="9" t="n">
        <f aca="false">B20*E33+C20*E34+D20*E35+E20*E36+F20*E37+G20*E38+H20*E39+I20*E40+E43</f>
        <v>0.463922072267675</v>
      </c>
      <c r="F73" s="9" t="n">
        <f aca="false">B20*F33+C20*F34+D20*F35+E20*F36+F20*F37+G20*F38+H20*F39+I20*F40+F43</f>
        <v>-0.0284452094117779</v>
      </c>
      <c r="G73" s="9" t="n">
        <f aca="false">B20*G33+C20*G34+D20*G35+E20*G36+F20*G37+G20*G38+H20*G39+I20*G40+G43</f>
        <v>0.0743318170454421</v>
      </c>
      <c r="H73" s="9" t="n">
        <f aca="false">B20*H33+C20*H34+D20*H35+E20*H36+F20*H37+G20*H38+H20*H39+I20*H40+H43</f>
        <v>-0.476015070470673</v>
      </c>
      <c r="I73" s="9" t="n">
        <f aca="false">B20*I33+C20*I34+D20*I35+E20*I36+F20*I37+G20*I38+H20*I39+I20*I40+I43</f>
        <v>-0.219182531997047</v>
      </c>
      <c r="J73" s="9" t="n">
        <f aca="false">B20*J33+C20*J34+D20*J35+E20*J36+F20*J37+G20*J38+H20*J39+I20*J40+J43</f>
        <v>-0.406436356052079</v>
      </c>
      <c r="K73" s="9" t="n">
        <f aca="false">B20*K33+C20*K34+D20*K35+E20*K36+F20*K37+G20*K38+H20*K39+I20*K40+K43</f>
        <v>-0.0810652395957621</v>
      </c>
      <c r="L73" s="9" t="n">
        <f aca="false">B20*L33+C20*L34+D20*L35+E20*L36+F20*L37+G20*L38+H20*L39+I20*L40+L43</f>
        <v>0.188337583132202</v>
      </c>
      <c r="M73" s="9" t="n">
        <f aca="false">B20*M33+C20*M34+D20*M35+E20*M36+F20*M37+G20*M38+H20*M39+I20*M40+M43</f>
        <v>-0.0530481394449744</v>
      </c>
      <c r="N73" s="9" t="n">
        <f aca="false">B20*N33+C20*N34+D20*N35+E20*N36+F20*N37+G20*N38+H20*N39+I20*N40+N43</f>
        <v>0.145300726599765</v>
      </c>
      <c r="O73" s="9" t="n">
        <f aca="false">B20*O33+C20*O34+D20*O35+E20*O36+F20*O37+G20*O38+H20*O39+I20*O40+O43</f>
        <v>-0.0889322866986087</v>
      </c>
      <c r="P73" s="9" t="n">
        <f aca="false">B20*P33+C20*P34+D20*P35+E20*P36+F20*P37+G20*P38+H20*P39+I20*P40+P43</f>
        <v>0.0263553341924747</v>
      </c>
      <c r="Q73" s="9" t="n">
        <f aca="false">B20*Q33+C20*Q34+D20*Q35+E20*Q36+F20*Q37+G20*Q38+H20*Q39+I20*Q40+Q43</f>
        <v>-0.133399974017574</v>
      </c>
    </row>
    <row r="74" customFormat="false" ht="15" hidden="false" customHeight="false" outlineLevel="0" collapsed="false">
      <c r="A74" s="0" t="n">
        <v>1</v>
      </c>
      <c r="B74" s="9" t="n">
        <f aca="false">B21*B33+C21*B34+D21*B35+E21*B36+F21*B37+G21*B38+H21*B39+I21*B40+B43</f>
        <v>0.24489552149332</v>
      </c>
      <c r="C74" s="9" t="n">
        <f aca="false">B21*C33+C21*C34+D21*C35+E21*C36+F21*C37+G21*C38+H21*C39+I21*C40+C43</f>
        <v>-0.111488848997527</v>
      </c>
      <c r="D74" s="9" t="n">
        <f aca="false">B21*D33+C21*D34+D21*D35+E21*D36+F21*D37+G21*D38+H21*D39+I21*D40+D43</f>
        <v>0.164669883560716</v>
      </c>
      <c r="E74" s="9" t="n">
        <f aca="false">B21*E33+C21*E34+D21*E35+E21*E36+F21*E37+G21*E38+H21*E39+I21*E40+E43</f>
        <v>0.452104265399168</v>
      </c>
      <c r="F74" s="9" t="n">
        <f aca="false">B21*F33+C21*F34+D21*F35+E21*F36+F21*F37+G21*F38+H21*F39+I21*F40+F43</f>
        <v>-0.256893976253032</v>
      </c>
      <c r="G74" s="9" t="n">
        <f aca="false">B21*G33+C21*G34+D21*G35+E21*G36+F21*G37+G21*G38+H21*G39+I21*G40+G43</f>
        <v>0.225228977648747</v>
      </c>
      <c r="H74" s="9" t="n">
        <f aca="false">B21*H33+C21*H34+D21*H35+E21*H36+F21*H37+G21*H38+H21*H39+I21*H40+H43</f>
        <v>-0.190380263868152</v>
      </c>
      <c r="I74" s="9" t="n">
        <f aca="false">B21*I33+C21*I34+D21*I35+E21*I36+F21*I37+G21*I38+H21*I39+I21*I40+I43</f>
        <v>-0.139907888611197</v>
      </c>
      <c r="J74" s="9" t="n">
        <f aca="false">B21*J33+C21*J34+D21*J35+E21*J36+F21*J37+G21*J38+H21*J39+I21*J40+J43</f>
        <v>-0.305321319466722</v>
      </c>
      <c r="K74" s="9" t="n">
        <f aca="false">B21*K33+C21*K34+D21*K35+E21*K36+F21*K37+G21*K38+H21*K39+I21*K40+K43</f>
        <v>0.293399713918935</v>
      </c>
      <c r="L74" s="9" t="n">
        <f aca="false">B21*L33+C21*L34+D21*L35+E21*L36+F21*L37+G21*L38+H21*L39+I21*L40+L43</f>
        <v>0.0760616007057886</v>
      </c>
      <c r="M74" s="9" t="n">
        <f aca="false">B21*M33+C21*M34+D21*M35+E21*M36+F21*M37+G21*M38+H21*M39+I21*M40+M43</f>
        <v>-0.00627278450945348</v>
      </c>
      <c r="N74" s="9" t="n">
        <f aca="false">B21*N33+C21*N34+D21*N35+E21*N36+F21*N37+G21*N38+H21*N39+I21*N40+N43</f>
        <v>0.012740554789868</v>
      </c>
      <c r="O74" s="9" t="n">
        <f aca="false">B21*O33+C21*O34+D21*O35+E21*O36+F21*O37+G21*O38+H21*O39+I21*O40+O43</f>
        <v>0.0985427407481666</v>
      </c>
      <c r="P74" s="9" t="n">
        <f aca="false">B21*P33+C21*P34+D21*P35+E21*P36+F21*P37+G21*P38+H21*P39+I21*P40+P43</f>
        <v>-0.148829519717145</v>
      </c>
      <c r="Q74" s="9" t="n">
        <f aca="false">B21*Q33+C21*Q34+D21*Q35+E21*Q36+F21*Q37+G21*Q38+H21*Q39+I21*Q40+Q43</f>
        <v>-0.164353336870275</v>
      </c>
    </row>
    <row r="75" customFormat="false" ht="15" hidden="false" customHeight="false" outlineLevel="0" collapsed="false">
      <c r="A75" s="0" t="n">
        <v>2</v>
      </c>
      <c r="B75" s="9" t="n">
        <f aca="false">B22*B33+C22*B34+D22*B35+E22*B36+F22*B37+G22*B38+H22*B39+I22*B40+B43</f>
        <v>-0.128052657599142</v>
      </c>
      <c r="C75" s="9" t="n">
        <f aca="false">B22*C33+C22*C34+D22*C35+E22*C36+F22*C37+G22*C38+H22*C39+I22*C40+C43</f>
        <v>0.0331933689325132</v>
      </c>
      <c r="D75" s="9" t="n">
        <f aca="false">B22*D33+C22*D34+D22*D35+E22*D36+F22*D37+G22*D38+H22*D39+I22*D40+D43</f>
        <v>0.121896729583916</v>
      </c>
      <c r="E75" s="9" t="n">
        <f aca="false">B22*E33+C22*E34+D22*E35+E22*E36+F22*E37+G22*E38+H22*E39+I22*E40+E43</f>
        <v>0.259297566524192</v>
      </c>
      <c r="F75" s="9" t="n">
        <f aca="false">B22*F33+C22*F34+D22*F35+E22*F36+F22*F37+G22*F38+H22*F39+I22*F40+F43</f>
        <v>-0.332373351994899</v>
      </c>
      <c r="G75" s="9" t="n">
        <f aca="false">B22*G33+C22*G34+D22*G35+E22*G36+F22*G37+G22*G38+H22*G39+I22*G40+G43</f>
        <v>-0.352006102442051</v>
      </c>
      <c r="H75" s="9" t="n">
        <f aca="false">B22*H33+C22*H34+D22*H35+E22*H36+F22*H37+G22*H38+H22*H39+I22*H40+H43</f>
        <v>-0.0350751474382723</v>
      </c>
      <c r="I75" s="9" t="n">
        <f aca="false">B22*I33+C22*I34+D22*I35+E22*I36+F22*I37+G22*I38+H22*I39+I22*I40+I43</f>
        <v>-0.103010607525633</v>
      </c>
      <c r="J75" s="9" t="n">
        <f aca="false">B22*J33+C22*J34+D22*J35+E22*J36+F22*J37+G22*J38+H22*J39+I22*J40+J43</f>
        <v>-0.252555409158817</v>
      </c>
      <c r="K75" s="9" t="n">
        <f aca="false">B22*K33+C22*K34+D22*K35+E22*K36+F22*K37+G22*K38+H22*K39+I22*K40+K43</f>
        <v>-0.107469121805876</v>
      </c>
      <c r="L75" s="9" t="n">
        <f aca="false">B22*L33+C22*L34+D22*L35+E22*L36+F22*L37+G22*L38+H22*L39+I22*L40+L43</f>
        <v>0.177014536832332</v>
      </c>
      <c r="M75" s="9" t="n">
        <f aca="false">B22*M33+C22*M34+D22*M35+E22*M36+F22*M37+G22*M38+H22*M39+I22*M40+M43</f>
        <v>-0.424881307362589</v>
      </c>
      <c r="N75" s="9" t="n">
        <f aca="false">B22*N33+C22*N34+D22*N35+E22*N36+F22*N37+G22*N38+H22*N39+I22*N40+N43</f>
        <v>0.511874197428086</v>
      </c>
      <c r="O75" s="9" t="n">
        <f aca="false">B22*O33+C22*O34+D22*O35+E22*O36+F22*O37+G22*O38+H22*O39+I22*O40+O43</f>
        <v>0.0742255498585433</v>
      </c>
      <c r="P75" s="9" t="n">
        <f aca="false">B22*P33+C22*P34+D22*P35+E22*P36+F22*P37+G22*P38+H22*P39+I22*P40+P43</f>
        <v>-0.115771649475072</v>
      </c>
      <c r="Q75" s="9" t="n">
        <f aca="false">B22*Q33+C22*Q34+D22*Q35+E22*Q36+F22*Q37+G22*Q38+H22*Q39+I22*Q40+Q43</f>
        <v>-0.0315642298319103</v>
      </c>
    </row>
    <row r="76" customFormat="false" ht="15" hidden="false" customHeight="false" outlineLevel="0" collapsed="false">
      <c r="A76" s="0" t="n">
        <v>3</v>
      </c>
      <c r="B76" s="9" t="n">
        <f aca="false">B23*B33+C23*B34+D23*B35+E23*B36+F23*B37+G23*B38+H23*B39+I23*B40+B43</f>
        <v>0.225633776289204</v>
      </c>
      <c r="C76" s="9" t="n">
        <f aca="false">B23*C33+C23*C34+D23*C35+E23*C36+F23*C37+G23*C38+H23*C39+I23*C40+C43</f>
        <v>0.177043980206079</v>
      </c>
      <c r="D76" s="9" t="n">
        <f aca="false">B23*D33+C23*D34+D23*D35+E23*D36+F23*D37+G23*D38+H23*D39+I23*D40+D43</f>
        <v>-0.0450180660729212</v>
      </c>
      <c r="E76" s="9" t="n">
        <f aca="false">B23*E33+C23*E34+D23*E35+E23*E36+F23*E37+G23*E38+H23*E39+I23*E40+E43</f>
        <v>0.017616334856759</v>
      </c>
      <c r="F76" s="9" t="n">
        <f aca="false">B23*F33+C23*F34+D23*F35+E23*F36+F23*F37+G23*F38+H23*F39+I23*F40+F43</f>
        <v>-0.170213176570221</v>
      </c>
      <c r="G76" s="9" t="n">
        <f aca="false">B23*G33+C23*G34+D23*G35+E23*G36+F23*G37+G23*G38+H23*G39+I23*G40+G43</f>
        <v>-0.325329658918364</v>
      </c>
      <c r="H76" s="9" t="n">
        <f aca="false">B23*H33+C23*H34+D23*H35+E23*H36+F23*H37+G23*H38+H23*H39+I23*H40+H43</f>
        <v>-0.156663907138722</v>
      </c>
      <c r="I76" s="9" t="n">
        <f aca="false">B23*I33+C23*I34+D23*I35+E23*I36+F23*I37+G23*I38+H23*I39+I23*I40+I43</f>
        <v>-0.619448608303377</v>
      </c>
      <c r="J76" s="9" t="n">
        <f aca="false">B23*J33+C23*J34+D23*J35+E23*J36+F23*J37+G23*J38+H23*J39+I23*J40+J43</f>
        <v>-0.472096914091857</v>
      </c>
      <c r="K76" s="9" t="n">
        <f aca="false">B23*K33+C23*K34+D23*K35+E23*K36+F23*K37+G23*K38+H23*K39+I23*K40+K43</f>
        <v>0.0882181770153199</v>
      </c>
      <c r="L76" s="9" t="n">
        <f aca="false">B23*L33+C23*L34+D23*L35+E23*L36+F23*L37+G23*L38+H23*L39+I23*L40+L43</f>
        <v>0.362479795491022</v>
      </c>
      <c r="M76" s="9" t="n">
        <f aca="false">B23*M33+C23*M34+D23*M35+E23*M36+F23*M37+G23*M38+H23*M39+I23*M40+M43</f>
        <v>-0.35396637901083</v>
      </c>
      <c r="N76" s="9" t="n">
        <f aca="false">B23*N33+C23*N34+D23*N35+E23*N36+F23*N37+G23*N38+H23*N39+I23*N40+N43</f>
        <v>-0.479594461694559</v>
      </c>
      <c r="O76" s="9" t="n">
        <f aca="false">B23*O33+C23*O34+D23*O35+E23*O36+F23*O37+G23*O38+H23*O39+I23*O40+O43</f>
        <v>0.0551941084163831</v>
      </c>
      <c r="P76" s="9" t="n">
        <f aca="false">B23*P33+C23*P34+D23*P35+E23*P36+F23*P37+G23*P38+H23*P39+I23*P40+P43</f>
        <v>0.0461923752176691</v>
      </c>
      <c r="Q76" s="9" t="n">
        <f aca="false">B23*Q33+C23*Q34+D23*Q35+E23*Q36+F23*Q37+G23*Q38+H23*Q39+I23*Q40+Q43</f>
        <v>0.31476824695732</v>
      </c>
    </row>
    <row r="77" customFormat="false" ht="15" hidden="false" customHeight="false" outlineLevel="0" collapsed="false">
      <c r="A77" s="0" t="n">
        <v>4</v>
      </c>
      <c r="B77" s="9" t="n">
        <f aca="false">B24*B33+C24*B34+D24*B35+E24*B36+F24*B37+G24*B38+H24*B39+I24*B40+B43</f>
        <v>0.17245742291933</v>
      </c>
      <c r="C77" s="9" t="n">
        <f aca="false">B24*C33+C24*C34+D24*C35+E24*C36+F24*C37+G24*C38+H24*C39+I24*C40+C43</f>
        <v>-0.112284011452544</v>
      </c>
      <c r="D77" s="9" t="n">
        <f aca="false">B24*D33+C24*D34+D24*D35+E24*D36+F24*D37+G24*D38+H24*D39+I24*D40+D43</f>
        <v>-0.0674204047159895</v>
      </c>
      <c r="E77" s="9" t="n">
        <f aca="false">B24*E33+C24*E34+D24*E35+E24*E36+F24*E37+G24*E38+H24*E39+I24*E40+E43</f>
        <v>-0.0694610808214134</v>
      </c>
      <c r="F77" s="9" t="n">
        <f aca="false">B24*F33+C24*F34+D24*F35+E24*F36+F24*F37+G24*F38+H24*F39+I24*F40+F43</f>
        <v>0.239299022567722</v>
      </c>
      <c r="G77" s="9" t="n">
        <f aca="false">B24*G33+C24*G34+D24*G35+E24*G36+F24*G37+G24*G38+H24*G39+I24*G40+G43</f>
        <v>0.313525845087391</v>
      </c>
      <c r="H77" s="9" t="n">
        <f aca="false">B24*H33+C24*H34+D24*H35+E24*H36+F24*H37+G24*H38+H24*H39+I24*H40+H43</f>
        <v>-0.0124391201241592</v>
      </c>
      <c r="I77" s="9" t="n">
        <f aca="false">B24*I33+C24*I34+D24*I35+E24*I36+F24*I37+G24*I38+H24*I39+I24*I40+I43</f>
        <v>-0.483699456534243</v>
      </c>
      <c r="J77" s="9" t="n">
        <f aca="false">B24*J33+C24*J34+D24*J35+E24*J36+F24*J37+G24*J38+H24*J39+I24*J40+J43</f>
        <v>-0.373813941293086</v>
      </c>
      <c r="K77" s="9" t="n">
        <f aca="false">B24*K33+C24*K34+D24*K35+E24*K36+F24*K37+G24*K38+H24*K39+I24*K40+K43</f>
        <v>0.465722314400088</v>
      </c>
      <c r="L77" s="9" t="n">
        <f aca="false">B24*L33+C24*L34+D24*L35+E24*L36+F24*L37+G24*L38+H24*L39+I24*L40+L43</f>
        <v>0.124680142430924</v>
      </c>
      <c r="M77" s="9" t="n">
        <f aca="false">B24*M33+C24*M34+D24*M35+E24*M36+F24*M37+G24*M38+H24*M39+I24*M40+M43</f>
        <v>0.236547220650714</v>
      </c>
      <c r="N77" s="9" t="n">
        <f aca="false">B24*N33+C24*N34+D24*N35+E24*N36+F24*N37+G24*N38+H24*N39+I24*N40+N43</f>
        <v>-0.636698766143221</v>
      </c>
      <c r="O77" s="9" t="n">
        <f aca="false">B24*O33+C24*O34+D24*O35+E24*O36+F24*O37+G24*O38+H24*O39+I24*O40+O43</f>
        <v>-0.00502926516287133</v>
      </c>
      <c r="P77" s="9" t="n">
        <f aca="false">B24*P33+C24*P34+D24*P35+E24*P36+F24*P37+G24*P38+H24*P39+I24*P40+P43</f>
        <v>-0.271156317144038</v>
      </c>
      <c r="Q77" s="9" t="n">
        <f aca="false">B24*Q33+C24*Q34+D24*Q35+E24*Q36+F24*Q37+G24*Q38+H24*Q39+I24*Q40+Q43</f>
        <v>-0.160901059241464</v>
      </c>
    </row>
    <row r="78" customFormat="false" ht="15" hidden="false" customHeight="false" outlineLevel="0" collapsed="false">
      <c r="A78" s="0" t="n">
        <v>5</v>
      </c>
      <c r="B78" s="9" t="n">
        <f aca="false">B25*B33+C25*B34+D25*B35+E25*B36+F25*B37+G25*B38+H25*B39+I25*B40+B43</f>
        <v>0.063426484262375</v>
      </c>
      <c r="C78" s="9" t="n">
        <f aca="false">B25*C33+C25*C34+D25*C35+E25*C36+F25*C37+G25*C38+H25*C39+I25*C40+C43</f>
        <v>0.0391506818290787</v>
      </c>
      <c r="D78" s="9" t="n">
        <f aca="false">B25*D33+C25*D34+D25*D35+E25*D36+F25*D37+G25*D38+H25*D39+I25*D40+D43</f>
        <v>-0.254556531730786</v>
      </c>
      <c r="E78" s="9" t="n">
        <f aca="false">B25*E33+C25*E34+D25*E35+E25*E36+F25*E37+G25*E38+H25*E39+I25*E40+E43</f>
        <v>-0.0218000815350343</v>
      </c>
      <c r="F78" s="9" t="n">
        <f aca="false">B25*F33+C25*F34+D25*F35+E25*F36+F25*F37+G25*F38+H25*F39+I25*F40+F43</f>
        <v>0.598725438034991</v>
      </c>
      <c r="G78" s="9" t="n">
        <f aca="false">B25*G33+C25*G34+D25*G35+E25*G36+F25*G37+G25*G38+H25*G39+I25*G40+G43</f>
        <v>-0.135191164265564</v>
      </c>
      <c r="H78" s="9" t="n">
        <f aca="false">B25*H33+C25*H34+D25*H35+E25*H36+F25*H37+G25*H38+H25*H39+I25*H40+H43</f>
        <v>-0.127271428783574</v>
      </c>
      <c r="I78" s="9" t="n">
        <f aca="false">B25*I33+C25*I34+D25*I35+E25*I36+F25*I37+G25*I38+H25*I39+I25*I40+I43</f>
        <v>-0.46685173696832</v>
      </c>
      <c r="J78" s="9" t="n">
        <f aca="false">B25*J33+C25*J34+D25*J35+E25*J36+F25*J37+G25*J38+H25*J39+I25*J40+J43</f>
        <v>-0.114189665290238</v>
      </c>
      <c r="K78" s="9" t="n">
        <f aca="false">B25*K33+C25*K34+D25*K35+E25*K36+F25*K37+G25*K38+H25*K39+I25*K40+K43</f>
        <v>-0.156071340637211</v>
      </c>
      <c r="L78" s="9" t="n">
        <f aca="false">B25*L33+C25*L34+D25*L35+E25*L36+F25*L37+G25*L38+H25*L39+I25*L40+L43</f>
        <v>0.40963523915815</v>
      </c>
      <c r="M78" s="9" t="n">
        <f aca="false">B25*M33+C25*M34+D25*M35+E25*M36+F25*M37+G25*M38+H25*M39+I25*M40+M43</f>
        <v>-0.278805319089094</v>
      </c>
      <c r="N78" s="9" t="n">
        <f aca="false">B25*N33+C25*N34+D25*N35+E25*N36+F25*N37+G25*N38+H25*N39+I25*N40+N43</f>
        <v>0.287408837309016</v>
      </c>
      <c r="O78" s="9" t="n">
        <f aca="false">B25*O33+C25*O34+D25*O35+E25*O36+F25*O37+G25*O38+H25*O39+I25*O40+O43</f>
        <v>-0.193601616343073</v>
      </c>
      <c r="P78" s="9" t="n">
        <f aca="false">B25*P33+C25*P34+D25*P35+E25*P36+F25*P37+G25*P38+H25*P39+I25*P40+P43</f>
        <v>-0.0217945097880024</v>
      </c>
      <c r="Q78" s="9" t="n">
        <f aca="false">B25*Q33+C25*Q34+D25*Q35+E25*Q36+F25*Q37+G25*Q38+H25*Q39+I25*Q40+Q43</f>
        <v>-0.100437839359323</v>
      </c>
    </row>
    <row r="79" customFormat="false" ht="15" hidden="false" customHeight="false" outlineLevel="0" collapsed="false">
      <c r="A79" s="0" t="n">
        <v>6</v>
      </c>
      <c r="B79" s="9" t="n">
        <f aca="false">B26*B33+C26*B34+D26*B35+E26*B36+F26*B37+G26*B38+H26*B39+I26*B40+B43</f>
        <v>0.00631171219887967</v>
      </c>
      <c r="C79" s="9" t="n">
        <f aca="false">B26*C33+C26*C34+D26*C35+E26*C36+F26*C37+G26*C38+H26*C39+I26*C40+C43</f>
        <v>-0.506746589029834</v>
      </c>
      <c r="D79" s="9" t="n">
        <f aca="false">B26*D33+C26*D34+D26*D35+E26*D36+F26*D37+G26*D38+H26*D39+I26*D40+D43</f>
        <v>-0.0578038699126253</v>
      </c>
      <c r="E79" s="9" t="n">
        <f aca="false">B26*E33+C26*E34+D26*E35+E26*E36+F26*E37+G26*E38+H26*E39+I26*E40+E43</f>
        <v>0.191519366110984</v>
      </c>
      <c r="F79" s="9" t="n">
        <f aca="false">B26*F33+C26*F34+D26*F35+E26*F36+F26*F37+G26*F38+H26*F39+I26*F40+F43</f>
        <v>-0.0419667908717076</v>
      </c>
      <c r="G79" s="9" t="n">
        <f aca="false">B26*G33+C26*G34+D26*G35+E26*G36+F26*G37+G26*G38+H26*G39+I26*G40+G43</f>
        <v>-0.042063283745315</v>
      </c>
      <c r="H79" s="9" t="n">
        <f aca="false">B26*H33+C26*H34+D26*H35+E26*H36+F26*H37+G26*H38+H26*H39+I26*H40+H43</f>
        <v>-0.247809874657073</v>
      </c>
      <c r="I79" s="9" t="n">
        <f aca="false">B26*I33+C26*I34+D26*I35+E26*I36+F26*I37+G26*I38+H26*I39+I26*I40+I43</f>
        <v>-0.127133077790143</v>
      </c>
      <c r="J79" s="9" t="n">
        <f aca="false">B26*J33+C26*J34+D26*J35+E26*J36+F26*J37+G26*J38+H26*J39+I26*J40+J43</f>
        <v>-0.51452858345856</v>
      </c>
      <c r="K79" s="9" t="n">
        <f aca="false">B26*K33+C26*K34+D26*K35+E26*K36+F26*K37+G26*K38+H26*K39+I26*K40+K43</f>
        <v>-0.0578062073905281</v>
      </c>
      <c r="L79" s="9" t="n">
        <f aca="false">B26*L33+C26*L34+D26*L35+E26*L36+F26*L37+G26*L38+H26*L39+I26*L40+L43</f>
        <v>0.0424800151218373</v>
      </c>
      <c r="M79" s="9" t="n">
        <f aca="false">B26*M33+C26*M34+D26*M35+E26*M36+F26*M37+G26*M38+H26*M39+I26*M40+M43</f>
        <v>0.19648490306208</v>
      </c>
      <c r="N79" s="9" t="n">
        <f aca="false">B26*N33+C26*N34+D26*N35+E26*N36+F26*N37+G26*N38+H26*N39+I26*N40+N43</f>
        <v>-0.418629030692558</v>
      </c>
      <c r="O79" s="9" t="n">
        <f aca="false">B26*O33+C26*O34+D26*O35+E26*O36+F26*O37+G26*O38+H26*O39+I26*O40+O43</f>
        <v>-0.0716711296635745</v>
      </c>
      <c r="P79" s="9" t="n">
        <f aca="false">B26*P33+C26*P34+D26*P35+E26*P36+F26*P37+G26*P38+H26*P39+I26*P40+P43</f>
        <v>-0.163067454096639</v>
      </c>
      <c r="Q79" s="9" t="n">
        <f aca="false">B26*Q33+C26*Q34+D26*Q35+E26*Q36+F26*Q37+G26*Q38+H26*Q39+I26*Q40+Q43</f>
        <v>-0.142500456688724</v>
      </c>
    </row>
    <row r="80" customFormat="false" ht="15" hidden="false" customHeight="false" outlineLevel="0" collapsed="false">
      <c r="A80" s="0" t="n">
        <v>7</v>
      </c>
      <c r="B80" s="9" t="n">
        <f aca="false">B27*B33+C27*B34+D27*B35+E27*B36+F27*B37+G27*B38+H27*B39+I27*B40+B43</f>
        <v>0.325742886699481</v>
      </c>
      <c r="C80" s="9" t="n">
        <f aca="false">B27*C33+C27*C34+D27*C35+E27*C36+F27*C37+G27*C38+H27*C39+I27*C40+C43</f>
        <v>0.265668148769267</v>
      </c>
      <c r="D80" s="9" t="n">
        <f aca="false">B27*D33+C27*D34+D27*D35+E27*D36+F27*D37+G27*D38+H27*D39+I27*D40+D43</f>
        <v>0.074988828643515</v>
      </c>
      <c r="E80" s="9" t="n">
        <f aca="false">B27*E33+C27*E34+D27*E35+E27*E36+F27*E37+G27*E38+H27*E39+I27*E40+E43</f>
        <v>0.123518335716945</v>
      </c>
      <c r="F80" s="9" t="n">
        <f aca="false">B27*F33+C27*F34+D27*F35+E27*F36+F27*F37+G27*F38+H27*F39+I27*F40+F43</f>
        <v>-0.282106522517715</v>
      </c>
      <c r="G80" s="9" t="n">
        <f aca="false">B27*G33+C27*G34+D27*G35+E27*G36+F27*G37+G27*G38+H27*G39+I27*G40+G43</f>
        <v>-0.000797883997816041</v>
      </c>
      <c r="H80" s="9" t="n">
        <f aca="false">B27*H33+C27*H34+D27*H35+E27*H36+F27*H37+G27*H38+H27*H39+I27*H40+H43</f>
        <v>-0.209698645534501</v>
      </c>
      <c r="I80" s="9" t="n">
        <f aca="false">B27*I33+C27*I34+D27*I35+E27*I36+F27*I37+G27*I38+H27*I39+I27*I40+I43</f>
        <v>-0.508871663371539</v>
      </c>
      <c r="J80" s="9" t="n">
        <f aca="false">B27*J33+C27*J34+D27*J35+E27*J36+F27*J37+G27*J38+H27*J39+I27*J40+J43</f>
        <v>-0.128518687362293</v>
      </c>
      <c r="K80" s="9" t="n">
        <f aca="false">B27*K33+C27*K34+D27*K35+E27*K36+F27*K37+G27*K38+H27*K39+I27*K40+K43</f>
        <v>0.217743599094732</v>
      </c>
      <c r="L80" s="9" t="n">
        <f aca="false">B27*L33+C27*L34+D27*L35+E27*L36+F27*L37+G27*L38+H27*L39+I27*L40+L43</f>
        <v>0.273770684006729</v>
      </c>
      <c r="M80" s="9" t="n">
        <f aca="false">B27*M33+C27*M34+D27*M35+E27*M36+F27*M37+G27*M38+H27*M39+I27*M40+M43</f>
        <v>-0.498761029733841</v>
      </c>
      <c r="N80" s="9" t="n">
        <f aca="false">B27*N33+C27*N34+D27*N35+E27*N36+F27*N37+G27*N38+H27*N39+I27*N40+N43</f>
        <v>0.386212137720956</v>
      </c>
      <c r="O80" s="9" t="n">
        <f aca="false">B27*O33+C27*O34+D27*O35+E27*O36+F27*O37+G27*O38+H27*O39+I27*O40+O43</f>
        <v>0.10161021588801</v>
      </c>
      <c r="P80" s="9" t="n">
        <f aca="false">B27*P33+C27*P34+D27*P35+E27*P36+F27*P37+G27*P38+H27*P39+I27*P40+P43</f>
        <v>0.210200125627107</v>
      </c>
      <c r="Q80" s="9" t="n">
        <f aca="false">B27*Q33+C27*Q34+D27*Q35+E27*Q36+F27*Q37+G27*Q38+H27*Q39+I27*Q40+Q43</f>
        <v>0.252914980927854</v>
      </c>
    </row>
    <row r="83" customFormat="false" ht="15" hidden="false" customHeight="false" outlineLevel="0" collapsed="false">
      <c r="A83" s="2" t="s">
        <v>335</v>
      </c>
    </row>
    <row r="84" customFormat="false" ht="15" hidden="false" customHeight="false" outlineLevel="0" collapsed="false">
      <c r="A84" s="0" t="s">
        <v>336</v>
      </c>
    </row>
    <row r="85" customFormat="false" ht="15" hidden="false" customHeight="false" outlineLevel="0" collapsed="false">
      <c r="B85" s="2" t="s">
        <v>337</v>
      </c>
      <c r="C85" s="2" t="s">
        <v>338</v>
      </c>
      <c r="D85" s="2" t="s">
        <v>339</v>
      </c>
      <c r="E85" s="2" t="s">
        <v>340</v>
      </c>
      <c r="F85" s="2" t="s">
        <v>341</v>
      </c>
      <c r="G85" s="2" t="s">
        <v>342</v>
      </c>
      <c r="H85" s="2" t="s">
        <v>343</v>
      </c>
      <c r="I85" s="2" t="s">
        <v>344</v>
      </c>
      <c r="J85" s="2" t="s">
        <v>345</v>
      </c>
      <c r="K85" s="2" t="s">
        <v>346</v>
      </c>
      <c r="L85" s="2" t="s">
        <v>347</v>
      </c>
      <c r="M85" s="2" t="s">
        <v>348</v>
      </c>
      <c r="N85" s="2" t="s">
        <v>349</v>
      </c>
      <c r="O85" s="2" t="s">
        <v>350</v>
      </c>
      <c r="P85" s="2" t="s">
        <v>351</v>
      </c>
      <c r="Q85" s="2" t="s">
        <v>352</v>
      </c>
    </row>
    <row r="86" customFormat="false" ht="15" hidden="false" customHeight="false" outlineLevel="0" collapsed="false">
      <c r="A86" s="0" t="n">
        <v>0</v>
      </c>
      <c r="B86" s="9" t="n">
        <f aca="false">B73*NORMSDIST(B73)</f>
        <v>0.155783680319474</v>
      </c>
      <c r="C86" s="9" t="n">
        <f aca="false">C73*NORMSDIST(C73)</f>
        <v>-0.141773990915544</v>
      </c>
      <c r="D86" s="9" t="n">
        <f aca="false">D73*NORMSDIST(D73)</f>
        <v>-0.0175866974626865</v>
      </c>
      <c r="E86" s="9" t="n">
        <f aca="false">E73*NORMSDIST(E73)</f>
        <v>0.314839884299412</v>
      </c>
      <c r="F86" s="9" t="n">
        <f aca="false">F73*NORMSDIST(F73)</f>
        <v>-0.0138998520884784</v>
      </c>
      <c r="G86" s="9" t="n">
        <f aca="false">G73*NORMSDIST(G73)</f>
        <v>0.0393681238602244</v>
      </c>
      <c r="H86" s="9" t="n">
        <f aca="false">H73*NORMSDIST(H73)</f>
        <v>-0.150911924459514</v>
      </c>
      <c r="I86" s="9" t="n">
        <f aca="false">I73*NORMSDIST(I73)</f>
        <v>-0.0905780429664523</v>
      </c>
      <c r="J86" s="9" t="n">
        <f aca="false">J73*NORMSDIST(J73)</f>
        <v>-0.13908699411794</v>
      </c>
      <c r="K86" s="9" t="n">
        <f aca="false">K73*NORMSDIST(K73)</f>
        <v>-0.0379138100481071</v>
      </c>
      <c r="L86" s="9" t="n">
        <f aca="false">L73*NORMSDIST(L73)</f>
        <v>0.10823647660907</v>
      </c>
      <c r="M86" s="9" t="n">
        <f aca="false">M73*NORMSDIST(M73)</f>
        <v>-0.0254019305447696</v>
      </c>
      <c r="N86" s="9" t="n">
        <f aca="false">N73*NORMSDIST(N73)</f>
        <v>0.0810434097769141</v>
      </c>
      <c r="O86" s="9" t="n">
        <f aca="false">O73*NORMSDIST(O73)</f>
        <v>-0.0413150823000634</v>
      </c>
      <c r="P86" s="9" t="n">
        <f aca="false">P73*NORMSDIST(P73)</f>
        <v>0.0134547417799606</v>
      </c>
      <c r="Q86" s="9" t="n">
        <f aca="false">Q73*NORMSDIST(Q73)</f>
        <v>-0.0596215886866964</v>
      </c>
    </row>
    <row r="87" customFormat="false" ht="15" hidden="false" customHeight="false" outlineLevel="0" collapsed="false">
      <c r="A87" s="0" t="n">
        <v>1</v>
      </c>
      <c r="B87" s="9" t="n">
        <f aca="false">B74*NORMSDIST(B74)</f>
        <v>0.146136831542691</v>
      </c>
      <c r="C87" s="9" t="n">
        <f aca="false">C74*NORMSDIST(C74)</f>
        <v>-0.0507959198966018</v>
      </c>
      <c r="D87" s="9" t="n">
        <f aca="false">D74*NORMSDIST(D74)</f>
        <v>0.0931040374177232</v>
      </c>
      <c r="E87" s="9" t="n">
        <f aca="false">E74*NORMSDIST(E74)</f>
        <v>0.304900502054634</v>
      </c>
      <c r="F87" s="9" t="n">
        <f aca="false">F74*NORMSDIST(F74)</f>
        <v>-0.102405725497043</v>
      </c>
      <c r="G87" s="9" t="n">
        <f aca="false">G74*NORMSDIST(G74)</f>
        <v>0.132682261494268</v>
      </c>
      <c r="H87" s="9" t="n">
        <f aca="false">H74*NORMSDIST(H74)</f>
        <v>-0.0808174845236663</v>
      </c>
      <c r="I87" s="9" t="n">
        <f aca="false">I74*NORMSDIST(I74)</f>
        <v>-0.0621703625822581</v>
      </c>
      <c r="J87" s="9" t="n">
        <f aca="false">J74*NORMSDIST(J74)</f>
        <v>-0.116040640520358</v>
      </c>
      <c r="K87" s="9" t="n">
        <f aca="false">K74*NORMSDIST(K74)</f>
        <v>0.180555742259596</v>
      </c>
      <c r="L87" s="9" t="n">
        <f aca="false">L74*NORMSDIST(L74)</f>
        <v>0.0403366043629985</v>
      </c>
      <c r="M87" s="9" t="n">
        <f aca="false">M74*NORMSDIST(M74)</f>
        <v>-0.00312069484643534</v>
      </c>
      <c r="N87" s="9" t="n">
        <f aca="false">N74*NORMSDIST(N74)</f>
        <v>0.00643503264672476</v>
      </c>
      <c r="O87" s="9" t="n">
        <f aca="false">O74*NORMSDIST(O74)</f>
        <v>0.0531391071769716</v>
      </c>
      <c r="P87" s="9" t="n">
        <f aca="false">P74*NORMSDIST(P74)</f>
        <v>-0.0656106124493367</v>
      </c>
      <c r="Q87" s="9" t="n">
        <f aca="false">Q74*NORMSDIST(Q74)</f>
        <v>-0.0714487505517705</v>
      </c>
    </row>
    <row r="88" customFormat="false" ht="15" hidden="false" customHeight="false" outlineLevel="0" collapsed="false">
      <c r="A88" s="0" t="n">
        <v>2</v>
      </c>
      <c r="B88" s="9" t="n">
        <f aca="false">B75*NORMSDIST(B75)</f>
        <v>-0.0575025133687177</v>
      </c>
      <c r="C88" s="9" t="n">
        <f aca="false">C75*NORMSDIST(C75)</f>
        <v>0.0170361582640118</v>
      </c>
      <c r="D88" s="9" t="n">
        <f aca="false">D75*NORMSDIST(D75)</f>
        <v>0.0668615260362842</v>
      </c>
      <c r="E88" s="9" t="n">
        <f aca="false">E75*NORMSDIST(E75)</f>
        <v>0.156174190913493</v>
      </c>
      <c r="F88" s="9" t="n">
        <f aca="false">F75*NORMSDIST(F75)</f>
        <v>-0.122912888353362</v>
      </c>
      <c r="G88" s="9" t="n">
        <f aca="false">G75*NORMSDIST(G75)</f>
        <v>-0.127572940351282</v>
      </c>
      <c r="H88" s="9" t="n">
        <f aca="false">H75*NORMSDIST(H75)</f>
        <v>-0.0170468692266704</v>
      </c>
      <c r="I88" s="9" t="n">
        <f aca="false">I75*NORMSDIST(I75)</f>
        <v>-0.0472795280491668</v>
      </c>
      <c r="J88" s="9" t="n">
        <f aca="false">J75*NORMSDIST(J75)</f>
        <v>-0.10109941927748</v>
      </c>
      <c r="K88" s="9" t="n">
        <f aca="false">K75*NORMSDIST(K75)</f>
        <v>-0.0491357863399862</v>
      </c>
      <c r="L88" s="9" t="n">
        <f aca="false">L75*NORMSDIST(L75)</f>
        <v>0.100942807703768</v>
      </c>
      <c r="M88" s="9" t="n">
        <f aca="false">M75*NORMSDIST(M75)</f>
        <v>-0.142531363586931</v>
      </c>
      <c r="N88" s="9" t="n">
        <f aca="false">N75*NORMSDIST(N75)</f>
        <v>0.356075289148882</v>
      </c>
      <c r="O88" s="9" t="n">
        <f aca="false">O75*NORMSDIST(O75)</f>
        <v>0.0393087038237256</v>
      </c>
      <c r="P88" s="9" t="n">
        <f aca="false">P75*NORMSDIST(P75)</f>
        <v>-0.0525506920203419</v>
      </c>
      <c r="Q88" s="9" t="n">
        <f aca="false">Q75*NORMSDIST(Q75)</f>
        <v>-0.0153847144701579</v>
      </c>
    </row>
    <row r="89" customFormat="false" ht="15" hidden="false" customHeight="false" outlineLevel="0" collapsed="false">
      <c r="A89" s="0" t="n">
        <v>3</v>
      </c>
      <c r="B89" s="9" t="n">
        <f aca="false">B76*NORMSDIST(B76)</f>
        <v>0.132956251820997</v>
      </c>
      <c r="C89" s="9" t="n">
        <f aca="false">C76*NORMSDIST(C76)</f>
        <v>0.10096164509481</v>
      </c>
      <c r="D89" s="9" t="n">
        <f aca="false">D76*NORMSDIST(D76)</f>
        <v>-0.0217007991368356</v>
      </c>
      <c r="E89" s="9" t="n">
        <f aca="false">E76*NORMSDIST(E76)</f>
        <v>0.00893196687895819</v>
      </c>
      <c r="F89" s="9" t="n">
        <f aca="false">F76*NORMSDIST(F76)</f>
        <v>-0.0736037936876622</v>
      </c>
      <c r="G89" s="9" t="n">
        <f aca="false">G76*NORMSDIST(G76)</f>
        <v>-0.121174169414652</v>
      </c>
      <c r="H89" s="9" t="n">
        <f aca="false">H76*NORMSDIST(H76)</f>
        <v>-0.0685803878092586</v>
      </c>
      <c r="I89" s="9" t="n">
        <f aca="false">I76*NORMSDIST(I76)</f>
        <v>-0.165894800501326</v>
      </c>
      <c r="J89" s="9" t="n">
        <f aca="false">J76*NORMSDIST(J76)</f>
        <v>-0.150329257385623</v>
      </c>
      <c r="K89" s="9" t="n">
        <f aca="false">K76*NORMSDIST(K76)</f>
        <v>0.0472098131721927</v>
      </c>
      <c r="L89" s="9" t="n">
        <f aca="false">L76*NORMSDIST(L76)</f>
        <v>0.232531963367812</v>
      </c>
      <c r="M89" s="9" t="n">
        <f aca="false">M76*NORMSDIST(M76)</f>
        <v>-0.128023282014439</v>
      </c>
      <c r="N89" s="9" t="n">
        <f aca="false">N76*NORMSDIST(N76)</f>
        <v>-0.151435736529916</v>
      </c>
      <c r="O89" s="9" t="n">
        <f aca="false">O76*NORMSDIST(O76)</f>
        <v>0.0288117710423425</v>
      </c>
      <c r="P89" s="9" t="n">
        <f aca="false">P76*NORMSDIST(P76)</f>
        <v>0.0239471223038941</v>
      </c>
      <c r="Q89" s="9" t="n">
        <f aca="false">Q76*NORMSDIST(Q76)</f>
        <v>0.196267819228072</v>
      </c>
    </row>
    <row r="90" customFormat="false" ht="15" hidden="false" customHeight="false" outlineLevel="0" collapsed="false">
      <c r="A90" s="0" t="n">
        <v>4</v>
      </c>
      <c r="B90" s="9" t="n">
        <f aca="false">B77*NORMSDIST(B77)</f>
        <v>0.0980353250066334</v>
      </c>
      <c r="C90" s="9" t="n">
        <f aca="false">C77*NORMSDIST(C77)</f>
        <v>-0.051122810405372</v>
      </c>
      <c r="D90" s="9" t="n">
        <f aca="false">D77*NORMSDIST(D77)</f>
        <v>-0.0318981787113109</v>
      </c>
      <c r="E90" s="9" t="n">
        <f aca="false">E77*NORMSDIST(E77)</f>
        <v>-0.0328072537573335</v>
      </c>
      <c r="F90" s="9" t="n">
        <f aca="false">F77*NORMSDIST(F77)</f>
        <v>0.142278377865216</v>
      </c>
      <c r="G90" s="9" t="n">
        <f aca="false">G77*NORMSDIST(G77)</f>
        <v>0.195345226768818</v>
      </c>
      <c r="H90" s="9" t="n">
        <f aca="false">H77*NORMSDIST(H77)</f>
        <v>-0.00615783263292514</v>
      </c>
      <c r="I90" s="9" t="n">
        <f aca="false">I77*NORMSDIST(I77)</f>
        <v>-0.15202654062054</v>
      </c>
      <c r="J90" s="9" t="n">
        <f aca="false">J77*NORMSDIST(J77)</f>
        <v>-0.132431578337499</v>
      </c>
      <c r="K90" s="9" t="n">
        <f aca="false">K77*NORMSDIST(K77)</f>
        <v>0.316361843424941</v>
      </c>
      <c r="L90" s="9" t="n">
        <f aca="false">L77*NORMSDIST(L77)</f>
        <v>0.0685256538938956</v>
      </c>
      <c r="M90" s="9" t="n">
        <f aca="false">M77*NORMSDIST(M77)</f>
        <v>0.140389820996713</v>
      </c>
      <c r="N90" s="9" t="n">
        <f aca="false">N77*NORMSDIST(N77)</f>
        <v>-0.166917291531533</v>
      </c>
      <c r="O90" s="9" t="n">
        <f aca="false">O77*NORMSDIST(O77)</f>
        <v>-0.00250454197418132</v>
      </c>
      <c r="P90" s="9" t="n">
        <f aca="false">P77*NORMSDIST(P77)</f>
        <v>-0.106601148368158</v>
      </c>
      <c r="Q90" s="9" t="n">
        <f aca="false">Q77*NORMSDIST(Q77)</f>
        <v>-0.0701666452593914</v>
      </c>
    </row>
    <row r="91" customFormat="false" ht="15" hidden="false" customHeight="false" outlineLevel="0" collapsed="false">
      <c r="A91" s="0" t="n">
        <v>5</v>
      </c>
      <c r="B91" s="9" t="n">
        <f aca="false">B78*NORMSDIST(B78)</f>
        <v>0.0333170791503022</v>
      </c>
      <c r="C91" s="9" t="n">
        <f aca="false">C78*NORMSDIST(C78)</f>
        <v>0.020186673845798</v>
      </c>
      <c r="D91" s="9" t="n">
        <f aca="false">D78*NORMSDIST(D78)</f>
        <v>-0.101703688458531</v>
      </c>
      <c r="E91" s="9" t="n">
        <f aca="false">E78*NORMSDIST(E78)</f>
        <v>-0.0107104610361755</v>
      </c>
      <c r="F91" s="9" t="n">
        <f aca="false">F78*NORMSDIST(F78)</f>
        <v>0.434268734873312</v>
      </c>
      <c r="G91" s="9" t="n">
        <f aca="false">G78*NORMSDIST(G78)</f>
        <v>-0.0603264027679995</v>
      </c>
      <c r="H91" s="9" t="n">
        <f aca="false">H78*NORMSDIST(H78)</f>
        <v>-0.0571910438746232</v>
      </c>
      <c r="I91" s="9" t="n">
        <f aca="false">I78*NORMSDIST(I78)</f>
        <v>-0.149534001949978</v>
      </c>
      <c r="J91" s="9" t="n">
        <f aca="false">J78*NORMSDIST(J78)</f>
        <v>-0.0519041954878044</v>
      </c>
      <c r="K91" s="9" t="n">
        <f aca="false">K78*NORMSDIST(K78)</f>
        <v>-0.068357435863706</v>
      </c>
      <c r="L91" s="9" t="n">
        <f aca="false">L78*NORMSDIST(L78)</f>
        <v>0.269934559759588</v>
      </c>
      <c r="M91" s="9" t="n">
        <f aca="false">M78*NORMSDIST(M78)</f>
        <v>-0.108789031464472</v>
      </c>
      <c r="N91" s="9" t="n">
        <f aca="false">N78*NORMSDIST(N78)</f>
        <v>0.176210459418287</v>
      </c>
      <c r="O91" s="9" t="n">
        <f aca="false">O78*NORMSDIST(O78)</f>
        <v>-0.0819407062914295</v>
      </c>
      <c r="P91" s="9" t="n">
        <f aca="false">P78*NORMSDIST(P78)</f>
        <v>-0.0107077720496103</v>
      </c>
      <c r="Q91" s="9" t="n">
        <f aca="false">Q78*NORMSDIST(Q78)</f>
        <v>-0.0462012418978835</v>
      </c>
    </row>
    <row r="92" customFormat="false" ht="15" hidden="false" customHeight="false" outlineLevel="0" collapsed="false">
      <c r="A92" s="0" t="n">
        <v>6</v>
      </c>
      <c r="B92" s="9" t="n">
        <f aca="false">B79*NORMSDIST(B79)</f>
        <v>0.00317174894114239</v>
      </c>
      <c r="C92" s="9" t="n">
        <f aca="false">C79*NORMSDIST(C79)</f>
        <v>-0.155148737483986</v>
      </c>
      <c r="D92" s="9" t="n">
        <f aca="false">D79*NORMSDIST(D79)</f>
        <v>-0.0275696960908015</v>
      </c>
      <c r="E92" s="9" t="n">
        <f aca="false">E79*NORMSDIST(E79)</f>
        <v>0.11030378730613</v>
      </c>
      <c r="F92" s="9" t="n">
        <f aca="false">F79*NORMSDIST(F79)</f>
        <v>-0.0202809798791646</v>
      </c>
      <c r="G92" s="9" t="n">
        <f aca="false">G79*NORMSDIST(G79)</f>
        <v>-0.020325993473571</v>
      </c>
      <c r="H92" s="9" t="n">
        <f aca="false">H79*NORMSDIST(H79)</f>
        <v>-0.0996544506270451</v>
      </c>
      <c r="I92" s="9" t="n">
        <f aca="false">I79*NORMSDIST(I79)</f>
        <v>-0.0571358345376402</v>
      </c>
      <c r="J92" s="9" t="n">
        <f aca="false">J79*NORMSDIST(J79)</f>
        <v>-0.156129191773805</v>
      </c>
      <c r="K92" s="9" t="n">
        <f aca="false">K79*NORMSDIST(K79)</f>
        <v>-0.0275707571411742</v>
      </c>
      <c r="L92" s="9" t="n">
        <f aca="false">L79*NORMSDIST(L79)</f>
        <v>0.0219597030640066</v>
      </c>
      <c r="M92" s="9" t="n">
        <f aca="false">M79*NORMSDIST(M79)</f>
        <v>0.113545614547496</v>
      </c>
      <c r="N92" s="9" t="n">
        <f aca="false">N79*NORMSDIST(N79)</f>
        <v>-0.141389290460588</v>
      </c>
      <c r="O92" s="9" t="n">
        <f aca="false">O79*NORMSDIST(O79)</f>
        <v>-0.0337880508209945</v>
      </c>
      <c r="P92" s="9" t="n">
        <f aca="false">P79*NORMSDIST(P79)</f>
        <v>-0.0709722821835818</v>
      </c>
      <c r="Q92" s="9" t="n">
        <f aca="false">Q79*NORMSDIST(Q79)</f>
        <v>-0.0631764886744829</v>
      </c>
    </row>
    <row r="93" customFormat="false" ht="15" hidden="false" customHeight="false" outlineLevel="0" collapsed="false">
      <c r="A93" s="0" t="n">
        <v>7</v>
      </c>
      <c r="B93" s="9" t="n">
        <f aca="false">B80*NORMSDIST(B80)</f>
        <v>0.204465732770693</v>
      </c>
      <c r="C93" s="9" t="n">
        <f aca="false">C80*NORMSDIST(C80)</f>
        <v>0.160663504278772</v>
      </c>
      <c r="D93" s="9" t="n">
        <f aca="false">D80*NORMSDIST(D80)</f>
        <v>0.0397356954181375</v>
      </c>
      <c r="E93" s="9" t="n">
        <f aca="false">E80*NORMSDIST(E80)</f>
        <v>0.0678303006021988</v>
      </c>
      <c r="F93" s="9" t="n">
        <f aca="false">F80*NORMSDIST(F80)</f>
        <v>-0.10971994821645</v>
      </c>
      <c r="G93" s="9" t="n">
        <f aca="false">G80*NORMSDIST(G80)</f>
        <v>-0.000398688024749639</v>
      </c>
      <c r="H93" s="9" t="n">
        <f aca="false">H80*NORMSDIST(H80)</f>
        <v>-0.0874341525088309</v>
      </c>
      <c r="I93" s="9" t="n">
        <f aca="false">I80*NORMSDIST(I80)</f>
        <v>-0.155420138970027</v>
      </c>
      <c r="J93" s="9" t="n">
        <f aca="false">J80*NORMSDIST(J80)</f>
        <v>-0.0576880874806994</v>
      </c>
      <c r="K93" s="9" t="n">
        <f aca="false">K80*NORMSDIST(K80)</f>
        <v>0.127638152326107</v>
      </c>
      <c r="L93" s="9" t="n">
        <f aca="false">L80*NORMSDIST(L80)</f>
        <v>0.166416868793379</v>
      </c>
      <c r="M93" s="9" t="n">
        <f aca="false">M80*NORMSDIST(M80)</f>
        <v>-0.154104126670836</v>
      </c>
      <c r="N93" s="9" t="n">
        <f aca="false">N80*NORMSDIST(N80)</f>
        <v>0.251165423483423</v>
      </c>
      <c r="O93" s="9" t="n">
        <f aca="false">O80*NORMSDIST(O80)</f>
        <v>0.054916964977884</v>
      </c>
      <c r="P93" s="9" t="n">
        <f aca="false">P80*NORMSDIST(P80)</f>
        <v>0.122598016563819</v>
      </c>
      <c r="Q93" s="9" t="n">
        <f aca="false">Q80*NORMSDIST(Q80)</f>
        <v>0.151706762801676</v>
      </c>
    </row>
    <row r="96" customFormat="false" ht="15" hidden="false" customHeight="false" outlineLevel="0" collapsed="false">
      <c r="A96" s="2" t="s">
        <v>353</v>
      </c>
    </row>
    <row r="97" customFormat="false" ht="15" hidden="false" customHeight="false" outlineLevel="0" collapsed="false">
      <c r="B97" s="2" t="s">
        <v>354</v>
      </c>
      <c r="C97" s="2" t="s">
        <v>355</v>
      </c>
      <c r="D97" s="2" t="s">
        <v>356</v>
      </c>
      <c r="E97" s="2" t="s">
        <v>357</v>
      </c>
      <c r="F97" s="2" t="s">
        <v>358</v>
      </c>
      <c r="G97" s="2" t="s">
        <v>359</v>
      </c>
      <c r="H97" s="2" t="s">
        <v>360</v>
      </c>
      <c r="I97" s="2" t="s">
        <v>361</v>
      </c>
    </row>
    <row r="98" customFormat="false" ht="15" hidden="false" customHeight="false" outlineLevel="0" collapsed="false">
      <c r="A98" s="0" t="n">
        <v>0</v>
      </c>
      <c r="B98" s="9" t="n">
        <f aca="false">B86*B47+C86*B48+D86*B49+E86*B50+F86*B51+G86*B52+H86*B53+I86*B54+J86*B55+K86*B56+L86*B57+M86*B58+N86*B59+O86*B60+P86*B61+Q86*B62+B65</f>
        <v>0.0341363775797325</v>
      </c>
      <c r="C98" s="9" t="n">
        <f aca="false">B86*C47+C86*C48+D86*C49+E86*C50+F86*C51+G86*C52+H86*C53+I86*C54+J86*C55+K86*C56+L86*C57+M86*C58+N86*C59+O86*C60+P86*C61+Q86*C62+C65</f>
        <v>0.103268458015875</v>
      </c>
      <c r="D98" s="9" t="n">
        <f aca="false">B86*D47+C86*D48+D86*D49+E86*D50+F86*D51+G86*D52+H86*D53+I86*D54+J86*D55+K86*D56+L86*D57+M86*D58+N86*D59+O86*D60+P86*D61+Q86*D62+D65</f>
        <v>-0.00350560559265274</v>
      </c>
      <c r="E98" s="9" t="n">
        <f aca="false">B86*E47+C86*E48+D86*E49+E86*E50+F86*E51+G86*E52+H86*E53+I86*E54+J86*E55+K86*E56+L86*E57+M86*E58+N86*E59+O86*E60+P86*E61+Q86*E62+E65</f>
        <v>-0.05185548751464</v>
      </c>
      <c r="F98" s="9" t="n">
        <f aca="false">B86*F47+C86*F48+D86*F49+E86*F50+F86*F51+G86*F52+H86*F53+I86*F54+J86*F55+K86*F56+L86*F57+M86*F58+N86*F59+O86*F60+P86*F61+Q86*F62+F65</f>
        <v>-0.00360252178897447</v>
      </c>
      <c r="G98" s="9" t="n">
        <f aca="false">B86*G47+C86*G48+D86*G49+E86*G50+F86*G51+G86*G52+H86*G53+I86*G54+J86*G55+K86*G56+L86*G57+M86*G58+N86*G59+O86*G60+P86*G61+Q86*G62+G65</f>
        <v>0.0117195199967579</v>
      </c>
      <c r="H98" s="9" t="n">
        <f aca="false">B86*H47+C86*H48+D86*H49+E86*H50+F86*H51+G86*H52+H86*H53+I86*H54+J86*H55+K86*H56+L86*H57+M86*H58+N86*H59+O86*H60+P86*H61+Q86*H62+H65</f>
        <v>0.0634816010635097</v>
      </c>
      <c r="I98" s="9" t="n">
        <f aca="false">B86*I47+C86*I48+D86*I49+E86*I50+F86*I51+G86*I52+H86*I53+I86*I54+J86*I55+K86*I56+L86*I57+M86*I58+N86*I59+O86*I60+P86*I61+Q86*I62+I65</f>
        <v>0.00294002002119721</v>
      </c>
    </row>
    <row r="99" customFormat="false" ht="15" hidden="false" customHeight="false" outlineLevel="0" collapsed="false">
      <c r="A99" s="0" t="n">
        <v>1</v>
      </c>
      <c r="B99" s="9" t="n">
        <f aca="false">B87*B47+C87*B48+D87*B49+E87*B50+F87*B51+G87*B52+H87*B53+I87*B54+J87*B55+K87*B56+L87*B57+M87*B58+N87*B59+O87*B60+P87*B61+Q87*B62+B65</f>
        <v>0.0182279635798855</v>
      </c>
      <c r="C99" s="9" t="n">
        <f aca="false">B87*C47+C87*C48+D87*C49+E87*C50+F87*C51+G87*C52+H87*C53+I87*C54+J87*C55+K87*C56+L87*C57+M87*C58+N87*C59+O87*C60+P87*C61+Q87*C62+C65</f>
        <v>0.133259456177875</v>
      </c>
      <c r="D99" s="9" t="n">
        <f aca="false">B87*D47+C87*D48+D87*D49+E87*D50+F87*D51+G87*D52+H87*D53+I87*D54+J87*D55+K87*D56+L87*D57+M87*D58+N87*D59+O87*D60+P87*D61+Q87*D62+D65</f>
        <v>-0.0249954332835003</v>
      </c>
      <c r="E99" s="9" t="n">
        <f aca="false">B87*E47+C87*E48+D87*E49+E87*E50+F87*E51+G87*E52+H87*E53+I87*E54+J87*E55+K87*E56+L87*E57+M87*E58+N87*E59+O87*E60+P87*E61+Q87*E62+E65</f>
        <v>-0.00955669108867422</v>
      </c>
      <c r="F99" s="9" t="n">
        <f aca="false">B87*F47+C87*F48+D87*F49+E87*F50+F87*F51+G87*F52+H87*F53+I87*F54+J87*F55+K87*F56+L87*F57+M87*F58+N87*F59+O87*F60+P87*F61+Q87*F62+F65</f>
        <v>0.0323121549752646</v>
      </c>
      <c r="G99" s="9" t="n">
        <f aca="false">B87*G47+C87*G48+D87*G49+E87*G50+F87*G51+G87*G52+H87*G53+I87*G54+J87*G55+K87*G56+L87*G57+M87*G58+N87*G59+O87*G60+P87*G61+Q87*G62+G65</f>
        <v>-0.000807355073900416</v>
      </c>
      <c r="H99" s="9" t="n">
        <f aca="false">B87*H47+C87*H48+D87*H49+E87*H50+F87*H51+G87*H52+H87*H53+I87*H54+J87*H55+K87*H56+L87*H57+M87*H58+N87*H59+O87*H60+P87*H61+Q87*H62+H65</f>
        <v>0.0489802280062607</v>
      </c>
      <c r="I99" s="9" t="n">
        <f aca="false">B87*I47+C87*I48+D87*I49+E87*I50+F87*I51+G87*I52+H87*I53+I87*I54+J87*I55+K87*I56+L87*I57+M87*I58+N87*I59+O87*I60+P87*I61+Q87*I62+I65</f>
        <v>0.0109550332611151</v>
      </c>
    </row>
    <row r="100" customFormat="false" ht="15" hidden="false" customHeight="false" outlineLevel="0" collapsed="false">
      <c r="A100" s="0" t="n">
        <v>2</v>
      </c>
      <c r="B100" s="9" t="n">
        <f aca="false">B88*B47+C88*B48+D88*B49+E88*B50+F88*B51+G88*B52+H88*B53+I88*B54+J88*B55+K88*B56+L88*B57+M88*B58+N88*B59+O88*B60+P88*B61+Q88*B62+B65</f>
        <v>0.0858649182658931</v>
      </c>
      <c r="C100" s="9" t="n">
        <f aca="false">B88*C47+C88*C48+D88*C49+E88*C50+F88*C51+G88*C52+H88*C53+I88*C54+J88*C55+K88*C56+L88*C57+M88*C58+N88*C59+O88*C60+P88*C61+Q88*C62+C65</f>
        <v>0.039847053494986</v>
      </c>
      <c r="D100" s="9" t="n">
        <f aca="false">B88*D47+C88*D48+D88*D49+E88*D50+F88*D51+G88*D52+H88*D53+I88*D54+J88*D55+K88*D56+L88*D57+M88*D58+N88*D59+O88*D60+P88*D61+Q88*D62+D65</f>
        <v>-0.0234567108089866</v>
      </c>
      <c r="E100" s="9" t="n">
        <f aca="false">B88*E47+C88*E48+D88*E49+E88*E50+F88*E51+G88*E52+H88*E53+I88*E54+J88*E55+K88*E56+L88*E57+M88*E58+N88*E59+O88*E60+P88*E61+Q88*E62+E65</f>
        <v>-0.0330121225889695</v>
      </c>
      <c r="F100" s="9" t="n">
        <f aca="false">B88*F47+C88*F48+D88*F49+E88*F50+F88*F51+G88*F52+H88*F53+I88*F54+J88*F55+K88*F56+L88*F57+M88*F58+N88*F59+O88*F60+P88*F61+Q88*F62+F65</f>
        <v>-0.045196562555109</v>
      </c>
      <c r="G100" s="9" t="n">
        <f aca="false">B88*G47+C88*G48+D88*G49+E88*G50+F88*G51+G88*G52+H88*G53+I88*G54+J88*G55+K88*G56+L88*G57+M88*G58+N88*G59+O88*G60+P88*G61+Q88*G62+G65</f>
        <v>-0.0122360791465765</v>
      </c>
      <c r="H100" s="9" t="n">
        <f aca="false">B88*H47+C88*H48+D88*H49+E88*H50+F88*H51+G88*H52+H88*H53+I88*H54+J88*H55+K88*H56+L88*H57+M88*H58+N88*H59+O88*H60+P88*H61+Q88*H62+H65</f>
        <v>0.00512121304401377</v>
      </c>
      <c r="I100" s="9" t="n">
        <f aca="false">B88*I47+C88*I48+D88*I49+E88*I50+F88*I51+G88*I52+H88*I53+I88*I54+J88*I55+K88*I56+L88*I57+M88*I58+N88*I59+O88*I60+P88*I61+Q88*I62+I65</f>
        <v>-0.00324100059025677</v>
      </c>
    </row>
    <row r="101" customFormat="false" ht="15" hidden="false" customHeight="false" outlineLevel="0" collapsed="false">
      <c r="A101" s="0" t="n">
        <v>3</v>
      </c>
      <c r="B101" s="9" t="n">
        <f aca="false">B89*B47+C89*B48+D89*B49+E89*B50+F89*B51+G89*B52+H89*B53+I89*B54+J89*B55+K89*B56+L89*B57+M89*B58+N89*B59+O89*B60+P89*B61+Q89*B62+B65</f>
        <v>-0.0888502254799135</v>
      </c>
      <c r="C101" s="9" t="n">
        <f aca="false">B89*C47+C89*C48+D89*C49+E89*C50+F89*C51+G89*C52+H89*C53+I89*C54+J89*C55+K89*C56+L89*C57+M89*C58+N89*C59+O89*C60+P89*C61+Q89*C62+C65</f>
        <v>0.0632873805041325</v>
      </c>
      <c r="D101" s="9" t="n">
        <f aca="false">B89*D47+C89*D48+D89*D49+E89*D50+F89*D51+G89*D52+H89*D53+I89*D54+J89*D55+K89*D56+L89*D57+M89*D58+N89*D59+O89*D60+P89*D61+Q89*D62+D65</f>
        <v>0.0250424774415321</v>
      </c>
      <c r="E101" s="9" t="n">
        <f aca="false">B89*E47+C89*E48+D89*E49+E89*E50+F89*E51+G89*E52+H89*E53+I89*E54+J89*E55+K89*E56+L89*E57+M89*E58+N89*E59+O89*E60+P89*E61+Q89*E62+E65</f>
        <v>-0.037520448781858</v>
      </c>
      <c r="F101" s="9" t="n">
        <f aca="false">B89*F47+C89*F48+D89*F49+E89*F50+F89*F51+G89*F52+H89*F53+I89*F54+J89*F55+K89*F56+L89*F57+M89*F58+N89*F59+O89*F60+P89*F61+Q89*F62+F65</f>
        <v>-0.00834885151119377</v>
      </c>
      <c r="G101" s="9" t="n">
        <f aca="false">B89*G47+C89*G48+D89*G49+E89*G50+F89*G51+G89*G52+H89*G53+I89*G54+J89*G55+K89*G56+L89*G57+M89*G58+N89*G59+O89*G60+P89*G61+Q89*G62+G65</f>
        <v>0.00016141269443597</v>
      </c>
      <c r="H101" s="9" t="n">
        <f aca="false">B89*H47+C89*H48+D89*H49+E89*H50+F89*H51+G89*H52+H89*H53+I89*H54+J89*H55+K89*H56+L89*H57+M89*H58+N89*H59+O89*H60+P89*H61+Q89*H62+H65</f>
        <v>0.0416887268234938</v>
      </c>
      <c r="I101" s="9" t="n">
        <f aca="false">B89*I47+C89*I48+D89*I49+E89*I50+F89*I51+G89*I52+H89*I53+I89*I54+J89*I55+K89*I56+L89*I57+M89*I58+N89*I59+O89*I60+P89*I61+Q89*I62+I65</f>
        <v>0.0279351398403581</v>
      </c>
    </row>
    <row r="102" customFormat="false" ht="15" hidden="false" customHeight="false" outlineLevel="0" collapsed="false">
      <c r="A102" s="0" t="n">
        <v>4</v>
      </c>
      <c r="B102" s="9" t="n">
        <f aca="false">B90*B47+C90*B48+D90*B49+E90*B50+F90*B51+G90*B52+H90*B53+I90*B54+J90*B55+K90*B56+L90*B57+M90*B58+N90*B59+O90*B60+P90*B61+Q90*B62+B65</f>
        <v>-0.0951174792529551</v>
      </c>
      <c r="C102" s="9" t="n">
        <f aca="false">B90*C47+C90*C48+D90*C49+E90*C50+F90*C51+G90*C52+H90*C53+I90*C54+J90*C55+K90*C56+L90*C57+M90*C58+N90*C59+O90*C60+P90*C61+Q90*C62+C65</f>
        <v>0.120072572944788</v>
      </c>
      <c r="D102" s="9" t="n">
        <f aca="false">B90*D47+C90*D48+D90*D49+E90*D50+F90*D51+G90*D52+H90*D53+I90*D54+J90*D55+K90*D56+L90*D57+M90*D58+N90*D59+O90*D60+P90*D61+Q90*D62+D65</f>
        <v>-0.071262373010982</v>
      </c>
      <c r="E102" s="9" t="n">
        <f aca="false">B90*E47+C90*E48+D90*E49+E90*E50+F90*E51+G90*E52+H90*E53+I90*E54+J90*E55+K90*E56+L90*E57+M90*E58+N90*E59+O90*E60+P90*E61+Q90*E62+E65</f>
        <v>0.0764949388422796</v>
      </c>
      <c r="F102" s="9" t="n">
        <f aca="false">B90*F47+C90*F48+D90*F49+E90*F50+F90*F51+G90*F52+H90*F53+I90*F54+J90*F55+K90*F56+L90*F57+M90*F58+N90*F59+O90*F60+P90*F61+Q90*F62+F65</f>
        <v>0.0625404332876998</v>
      </c>
      <c r="G102" s="9" t="n">
        <f aca="false">B90*G47+C90*G48+D90*G49+E90*G50+F90*G51+G90*G52+H90*G53+I90*G54+J90*G55+K90*G56+L90*G57+M90*G58+N90*G59+O90*G60+P90*G61+Q90*G62+G65</f>
        <v>0.0243956241427484</v>
      </c>
      <c r="H102" s="9" t="n">
        <f aca="false">B90*H47+C90*H48+D90*H49+E90*H50+F90*H51+G90*H52+H90*H53+I90*H54+J90*H55+K90*H56+L90*H57+M90*H58+N90*H59+O90*H60+P90*H61+Q90*H62+H65</f>
        <v>0.0824163846296529</v>
      </c>
      <c r="I102" s="9" t="n">
        <f aca="false">B90*I47+C90*I48+D90*I49+E90*I50+F90*I51+G90*I52+H90*I53+I90*I54+J90*I55+K90*I56+L90*I57+M90*I58+N90*I59+O90*I60+P90*I61+Q90*I62+I65</f>
        <v>-0.0268637633888643</v>
      </c>
    </row>
    <row r="103" customFormat="false" ht="15" hidden="false" customHeight="false" outlineLevel="0" collapsed="false">
      <c r="A103" s="0" t="n">
        <v>5</v>
      </c>
      <c r="B103" s="9" t="n">
        <f aca="false">B91*B47+C91*B48+D91*B49+E91*B50+F91*B51+G91*B52+H91*B53+I91*B54+J91*B55+K91*B56+L91*B57+M91*B58+N91*B59+O91*B60+P91*B61+Q91*B62+B65</f>
        <v>0.0389610273100485</v>
      </c>
      <c r="C103" s="9" t="n">
        <f aca="false">B91*C47+C91*C48+D91*C49+E91*C50+F91*C51+G91*C52+H91*C53+I91*C54+J91*C55+K91*C56+L91*C57+M91*C58+N91*C59+O91*C60+P91*C61+Q91*C62+C65</f>
        <v>0.0508102821599696</v>
      </c>
      <c r="D103" s="9" t="n">
        <f aca="false">B91*D47+C91*D48+D91*D49+E91*D50+F91*D51+G91*D52+H91*D53+I91*D54+J91*D55+K91*D56+L91*D57+M91*D58+N91*D59+O91*D60+P91*D61+Q91*D62+D65</f>
        <v>-0.0886131648293514</v>
      </c>
      <c r="E103" s="9" t="n">
        <f aca="false">B91*E47+C91*E48+D91*E49+E91*E50+F91*E51+G91*E52+H91*E53+I91*E54+J91*E55+K91*E56+L91*E57+M91*E58+N91*E59+O91*E60+P91*E61+Q91*E62+E65</f>
        <v>0.0394349331493821</v>
      </c>
      <c r="F103" s="9" t="n">
        <f aca="false">B91*F47+C91*F48+D91*F49+E91*F50+F91*F51+G91*F52+H91*F53+I91*F54+J91*F55+K91*F56+L91*F57+M91*F58+N91*F59+O91*F60+P91*F61+Q91*F62+F65</f>
        <v>-0.0771242677766165</v>
      </c>
      <c r="G103" s="9" t="n">
        <f aca="false">B91*G47+C91*G48+D91*G49+E91*G50+F91*G51+G91*G52+H91*G53+I91*G54+J91*G55+K91*G56+L91*G57+M91*G58+N91*G59+O91*G60+P91*G61+Q91*G62+G65</f>
        <v>-0.0315784745456909</v>
      </c>
      <c r="H103" s="9" t="n">
        <f aca="false">B91*H47+C91*H48+D91*H49+E91*H50+F91*H51+G91*H52+H91*H53+I91*H54+J91*H55+K91*H56+L91*H57+M91*H58+N91*H59+O91*H60+P91*H61+Q91*H62+H65</f>
        <v>0.0268495178903963</v>
      </c>
      <c r="I103" s="9" t="n">
        <f aca="false">B91*I47+C91*I48+D91*I49+E91*I50+F91*I51+G91*I52+H91*I53+I91*I54+J91*I55+K91*I56+L91*I57+M91*I58+N91*I59+O91*I60+P91*I61+Q91*I62+I65</f>
        <v>-0.0270780357965241</v>
      </c>
    </row>
    <row r="104" customFormat="false" ht="15" hidden="false" customHeight="false" outlineLevel="0" collapsed="false">
      <c r="A104" s="0" t="n">
        <v>6</v>
      </c>
      <c r="B104" s="9" t="n">
        <f aca="false">B92*B47+C92*B48+D92*B49+E92*B50+F92*B51+G92*B52+H92*B53+I92*B54+J92*B55+K92*B56+L92*B57+M92*B58+N92*B59+O92*B60+P92*B61+Q92*B62+B65</f>
        <v>-0.0653529943500207</v>
      </c>
      <c r="C104" s="9" t="n">
        <f aca="false">B92*C47+C92*C48+D92*C49+E92*C50+F92*C51+G92*C52+H92*C53+I92*C54+J92*C55+K92*C56+L92*C57+M92*C58+N92*C59+O92*C60+P92*C61+Q92*C62+C65</f>
        <v>0.0340573430319691</v>
      </c>
      <c r="D104" s="9" t="n">
        <f aca="false">B92*D47+C92*D48+D92*D49+E92*D50+F92*D51+G92*D52+H92*D53+I92*D54+J92*D55+K92*D56+L92*D57+M92*D58+N92*D59+O92*D60+P92*D61+Q92*D62+D65</f>
        <v>0.0247472001236265</v>
      </c>
      <c r="E104" s="9" t="n">
        <f aca="false">B92*E47+C92*E48+D92*E49+E92*E50+F92*E51+G92*E52+H92*E53+I92*E54+J92*E55+K92*E56+L92*E57+M92*E58+N92*E59+O92*E60+P92*E61+Q92*E62+E65</f>
        <v>-0.0364797936493735</v>
      </c>
      <c r="F104" s="9" t="n">
        <f aca="false">B92*F47+C92*F48+D92*F49+E92*F50+F92*F51+G92*F52+H92*F53+I92*F54+J92*F55+K92*F56+L92*F57+M92*F58+N92*F59+O92*F60+P92*F61+Q92*F62+F65</f>
        <v>0.0110602224195029</v>
      </c>
      <c r="G104" s="9" t="n">
        <f aca="false">B92*G47+C92*G48+D92*G49+E92*G50+F92*G51+G92*G52+H92*G53+I92*G54+J92*G55+K92*G56+L92*G57+M92*G58+N92*G59+O92*G60+P92*G61+Q92*G62+G65</f>
        <v>0.0492841035356596</v>
      </c>
      <c r="H104" s="9" t="n">
        <f aca="false">B92*H47+C92*H48+D92*H49+E92*H50+F92*H51+G92*H52+H92*H53+I92*H54+J92*H55+K92*H56+L92*H57+M92*H58+N92*H59+O92*H60+P92*H61+Q92*H62+H65</f>
        <v>0.0570451508511677</v>
      </c>
      <c r="I104" s="9" t="n">
        <f aca="false">B92*I47+C92*I48+D92*I49+E92*I50+F92*I51+G92*I52+H92*I53+I92*I54+J92*I55+K92*I56+L92*I57+M92*I58+N92*I59+O92*I60+P92*I61+Q92*I62+I65</f>
        <v>-0.0449281957373607</v>
      </c>
    </row>
    <row r="105" customFormat="false" ht="15" hidden="false" customHeight="false" outlineLevel="0" collapsed="false">
      <c r="A105" s="0" t="n">
        <v>7</v>
      </c>
      <c r="B105" s="9" t="n">
        <f aca="false">B93*B47+C93*B48+D93*B49+E93*B50+F93*B51+G93*B52+H93*B53+I93*B54+J93*B55+K93*B56+L93*B57+M93*B58+N93*B59+O93*B60+P93*B61+Q93*B62+B65</f>
        <v>0.05264544210726</v>
      </c>
      <c r="C105" s="9" t="n">
        <f aca="false">B93*C47+C93*C48+D93*C49+E93*C50+F93*C51+G93*C52+H93*C53+I93*C54+J93*C55+K93*C56+L93*C57+M93*C58+N93*C59+O93*C60+P93*C61+Q93*C62+C65</f>
        <v>0.0666403692213257</v>
      </c>
      <c r="D105" s="9" t="n">
        <f aca="false">B93*D47+C93*D48+D93*D49+E93*D50+F93*D51+G93*D52+H93*D53+I93*D54+J93*D55+K93*D56+L93*D57+M93*D58+N93*D59+O93*D60+P93*D61+Q93*D62+D65</f>
        <v>-0.059181220081193</v>
      </c>
      <c r="E105" s="9" t="n">
        <f aca="false">B93*E47+C93*E48+D93*E49+E93*E50+F93*E51+G93*E52+H93*E53+I93*E54+J93*E55+K93*E56+L93*E57+M93*E58+N93*E59+O93*E60+P93*E61+Q93*E62+E65</f>
        <v>0.0187395602151326</v>
      </c>
      <c r="F105" s="9" t="n">
        <f aca="false">B93*F47+C93*F48+D93*F49+E93*F50+F93*F51+G93*F52+H93*F53+I93*F54+J93*F55+K93*F56+L93*F57+M93*F58+N93*F59+O93*F60+P93*F61+Q93*F62+F65</f>
        <v>-0.00927988898652117</v>
      </c>
      <c r="G105" s="9" t="n">
        <f aca="false">B93*G47+C93*G48+D93*G49+E93*G50+F93*G51+G93*G52+H93*G53+I93*G54+J93*G55+K93*G56+L93*G57+M93*G58+N93*G59+O93*G60+P93*G61+Q93*G62+G65</f>
        <v>-0.0238198821492133</v>
      </c>
      <c r="H105" s="9" t="n">
        <f aca="false">B93*H47+C93*H48+D93*H49+E93*H50+F93*H51+G93*H52+H93*H53+I93*H54+J93*H55+K93*H56+L93*H57+M93*H58+N93*H59+O93*H60+P93*H61+Q93*H62+H65</f>
        <v>0.0177477331254539</v>
      </c>
      <c r="I105" s="9" t="n">
        <f aca="false">B93*I47+C93*I48+D93*I49+E93*I50+F93*I51+G93*I52+H93*I53+I93*I54+J93*I55+K93*I56+L93*I57+M93*I58+N93*I59+O93*I60+P93*I61+Q93*I62+I65</f>
        <v>0.0833441831249462</v>
      </c>
    </row>
    <row r="108" customFormat="false" ht="15" hidden="false" customHeight="false" outlineLevel="0" collapsed="false">
      <c r="A108" s="1" t="s">
        <v>362</v>
      </c>
    </row>
    <row r="109" customFormat="false" ht="15" hidden="false" customHeight="false" outlineLevel="0" collapsed="false">
      <c r="A109" s="0" t="s">
        <v>363</v>
      </c>
    </row>
    <row r="110" customFormat="false" ht="15" hidden="false" customHeight="false" outlineLevel="0" collapsed="false">
      <c r="B110" s="2" t="s">
        <v>364</v>
      </c>
      <c r="C110" s="2" t="s">
        <v>365</v>
      </c>
      <c r="D110" s="2" t="s">
        <v>366</v>
      </c>
      <c r="E110" s="2" t="s">
        <v>367</v>
      </c>
      <c r="F110" s="2" t="s">
        <v>368</v>
      </c>
      <c r="G110" s="2" t="s">
        <v>369</v>
      </c>
      <c r="H110" s="2" t="s">
        <v>370</v>
      </c>
      <c r="I110" s="2" t="s">
        <v>371</v>
      </c>
    </row>
    <row r="111" customFormat="false" ht="15" hidden="false" customHeight="false" outlineLevel="0" collapsed="false">
      <c r="A111" s="0" t="n">
        <v>0</v>
      </c>
      <c r="B111" s="10" t="n">
        <f aca="false">Attention!B$218+B98</f>
        <v>-0.139386841481364</v>
      </c>
      <c r="C111" s="10" t="n">
        <f aca="false">Attention!C$218+C98</f>
        <v>0.135898575101312</v>
      </c>
      <c r="D111" s="10" t="n">
        <f aca="false">Attention!D$218+D98</f>
        <v>0.124716120900542</v>
      </c>
      <c r="E111" s="10" t="n">
        <f aca="false">Attention!E$218+E98</f>
        <v>-0.0352599743505935</v>
      </c>
      <c r="F111" s="10" t="n">
        <f aca="false">Attention!F$218+F98</f>
        <v>0.184667895594026</v>
      </c>
      <c r="G111" s="10" t="n">
        <f aca="false">Attention!G$218+G98</f>
        <v>0.0799994781702948</v>
      </c>
      <c r="H111" s="10" t="n">
        <f aca="false">Attention!H$218+H98</f>
        <v>-0.105083042054703</v>
      </c>
      <c r="I111" s="10" t="n">
        <f aca="false">Attention!I$218+I98</f>
        <v>-0.0746326384819934</v>
      </c>
    </row>
    <row r="112" customFormat="false" ht="15" hidden="false" customHeight="false" outlineLevel="0" collapsed="false">
      <c r="A112" s="0" t="n">
        <v>1</v>
      </c>
      <c r="B112" s="10" t="n">
        <f aca="false">Attention!B$219+B99</f>
        <v>0.0582405932155503</v>
      </c>
      <c r="C112" s="10" t="n">
        <f aca="false">Attention!C$219+C99</f>
        <v>0.168605292596506</v>
      </c>
      <c r="D112" s="10" t="n">
        <f aca="false">Attention!D$219+D99</f>
        <v>-0.08042524585917</v>
      </c>
      <c r="E112" s="10" t="n">
        <f aca="false">Attention!E$219+E99</f>
        <v>0.185161441900544</v>
      </c>
      <c r="F112" s="10" t="n">
        <f aca="false">Attention!F$219+F99</f>
        <v>0.323014341647029</v>
      </c>
      <c r="G112" s="10" t="n">
        <f aca="false">Attention!G$219+G99</f>
        <v>0.0975364713084425</v>
      </c>
      <c r="H112" s="10" t="n">
        <f aca="false">Attention!H$219+H99</f>
        <v>-0.275687513567813</v>
      </c>
      <c r="I112" s="10" t="n">
        <f aca="false">Attention!I$219+I99</f>
        <v>-0.21946952595523</v>
      </c>
    </row>
    <row r="113" customFormat="false" ht="15" hidden="false" customHeight="false" outlineLevel="0" collapsed="false">
      <c r="A113" s="0" t="n">
        <v>2</v>
      </c>
      <c r="B113" s="10" t="n">
        <f aca="false">Attention!B$220+B100</f>
        <v>0.216100117615126</v>
      </c>
      <c r="C113" s="10" t="n">
        <f aca="false">Attention!C$220+C100</f>
        <v>-0.121810088601522</v>
      </c>
      <c r="D113" s="10" t="n">
        <f aca="false">Attention!D$220+D100</f>
        <v>0.124570075349097</v>
      </c>
      <c r="E113" s="10" t="n">
        <f aca="false">Attention!E$220+E100</f>
        <v>-0.0872808029853291</v>
      </c>
      <c r="F113" s="10" t="n">
        <f aca="false">Attention!F$220+F100</f>
        <v>-0.0161973819536654</v>
      </c>
      <c r="G113" s="10" t="n">
        <f aca="false">Attention!G$220+G100</f>
        <v>-0.212521717710473</v>
      </c>
      <c r="H113" s="10" t="n">
        <f aca="false">Attention!H$220+H100</f>
        <v>-0.494525495644688</v>
      </c>
      <c r="I113" s="10" t="n">
        <f aca="false">Attention!I$220+I100</f>
        <v>-0.128377202525347</v>
      </c>
    </row>
    <row r="114" customFormat="false" ht="15" hidden="false" customHeight="false" outlineLevel="0" collapsed="false">
      <c r="A114" s="0" t="n">
        <v>3</v>
      </c>
      <c r="B114" s="10" t="n">
        <f aca="false">Attention!B$221+B101</f>
        <v>-0.0805813269924614</v>
      </c>
      <c r="C114" s="10" t="n">
        <f aca="false">Attention!C$221+C101</f>
        <v>0.336436260240808</v>
      </c>
      <c r="D114" s="10" t="n">
        <f aca="false">Attention!D$221+D101</f>
        <v>0.304184429995997</v>
      </c>
      <c r="E114" s="10" t="n">
        <f aca="false">Attention!E$221+E101</f>
        <v>-0.0528567305636436</v>
      </c>
      <c r="F114" s="10" t="n">
        <f aca="false">Attention!F$221+F101</f>
        <v>0.134280076292019</v>
      </c>
      <c r="G114" s="10" t="n">
        <f aca="false">Attention!G$221+G101</f>
        <v>0.0896873791596213</v>
      </c>
      <c r="H114" s="10" t="n">
        <f aca="false">Attention!H$221+H101</f>
        <v>0.147521534226562</v>
      </c>
      <c r="I114" s="10" t="n">
        <f aca="false">Attention!I$221+I101</f>
        <v>-0.0976984135183504</v>
      </c>
    </row>
    <row r="115" customFormat="false" ht="15" hidden="false" customHeight="false" outlineLevel="0" collapsed="false">
      <c r="A115" s="0" t="n">
        <v>4</v>
      </c>
      <c r="B115" s="10" t="n">
        <f aca="false">Attention!B$222+B102</f>
        <v>-0.128507665339233</v>
      </c>
      <c r="C115" s="10" t="n">
        <f aca="false">Attention!C$222+C102</f>
        <v>0.165102321712242</v>
      </c>
      <c r="D115" s="10" t="n">
        <f aca="false">Attention!D$222+D102</f>
        <v>-0.176835842688207</v>
      </c>
      <c r="E115" s="10" t="n">
        <f aca="false">Attention!E$222+E102</f>
        <v>0.00805741256623974</v>
      </c>
      <c r="F115" s="10" t="n">
        <f aca="false">Attention!F$222+F102</f>
        <v>0.328158803193925</v>
      </c>
      <c r="G115" s="10" t="n">
        <f aca="false">Attention!G$222+G102</f>
        <v>-0.0531475328052088</v>
      </c>
      <c r="H115" s="10" t="n">
        <f aca="false">Attention!H$222+H102</f>
        <v>0.0738560904603526</v>
      </c>
      <c r="I115" s="10" t="n">
        <f aca="false">Attention!I$222+I102</f>
        <v>-0.283862452707752</v>
      </c>
    </row>
    <row r="116" customFormat="false" ht="15" hidden="false" customHeight="false" outlineLevel="0" collapsed="false">
      <c r="A116" s="0" t="n">
        <v>5</v>
      </c>
      <c r="B116" s="10" t="n">
        <f aca="false">Attention!B$223+B103</f>
        <v>0.055503957968628</v>
      </c>
      <c r="C116" s="10" t="n">
        <f aca="false">Attention!C$223+C103</f>
        <v>0.114455586188897</v>
      </c>
      <c r="D116" s="10" t="n">
        <f aca="false">Attention!D$223+D103</f>
        <v>0.218536174571957</v>
      </c>
      <c r="E116" s="10" t="n">
        <f aca="false">Attention!E$223+E103</f>
        <v>0.0999416254479371</v>
      </c>
      <c r="F116" s="10" t="n">
        <f aca="false">Attention!F$223+F103</f>
        <v>0.19066667676376</v>
      </c>
      <c r="G116" s="10" t="n">
        <f aca="false">Attention!G$223+G103</f>
        <v>-0.231625599869267</v>
      </c>
      <c r="H116" s="10" t="n">
        <f aca="false">Attention!H$223+H103</f>
        <v>0.171165171271055</v>
      </c>
      <c r="I116" s="10" t="n">
        <f aca="false">Attention!I$223+I103</f>
        <v>0.0401664465845688</v>
      </c>
    </row>
    <row r="117" customFormat="false" ht="15" hidden="false" customHeight="false" outlineLevel="0" collapsed="false">
      <c r="A117" s="0" t="n">
        <v>6</v>
      </c>
      <c r="B117" s="10" t="n">
        <f aca="false">Attention!B$224+B104</f>
        <v>-0.145165485654395</v>
      </c>
      <c r="C117" s="10" t="n">
        <f aca="false">Attention!C$224+C104</f>
        <v>0.00340661314009017</v>
      </c>
      <c r="D117" s="10" t="n">
        <f aca="false">Attention!D$224+D104</f>
        <v>0.122432609934643</v>
      </c>
      <c r="E117" s="10" t="n">
        <f aca="false">Attention!E$224+E104</f>
        <v>-0.130907101994225</v>
      </c>
      <c r="F117" s="10" t="n">
        <f aca="false">Attention!F$224+F104</f>
        <v>0.231319421386773</v>
      </c>
      <c r="G117" s="10" t="n">
        <f aca="false">Attention!G$224+G104</f>
        <v>0.19133379843085</v>
      </c>
      <c r="H117" s="10" t="n">
        <f aca="false">Attention!H$224+H104</f>
        <v>-0.0303938866599068</v>
      </c>
      <c r="I117" s="10" t="n">
        <f aca="false">Attention!I$224+I104</f>
        <v>-0.128065749371753</v>
      </c>
    </row>
    <row r="118" customFormat="false" ht="15" hidden="false" customHeight="false" outlineLevel="0" collapsed="false">
      <c r="A118" s="0" t="n">
        <v>7</v>
      </c>
      <c r="B118" s="10" t="n">
        <f aca="false">Attention!B$225+B105</f>
        <v>0.153001056961086</v>
      </c>
      <c r="C118" s="10" t="n">
        <f aca="false">Attention!C$225+C105</f>
        <v>0.488060814314303</v>
      </c>
      <c r="D118" s="10" t="n">
        <f aca="false">Attention!D$225+D105</f>
        <v>0.165418988028708</v>
      </c>
      <c r="E118" s="10" t="n">
        <f aca="false">Attention!E$225+E105</f>
        <v>0.224967443396346</v>
      </c>
      <c r="F118" s="10" t="n">
        <f aca="false">Attention!F$225+F105</f>
        <v>0.0741886000949566</v>
      </c>
      <c r="G118" s="10" t="n">
        <f aca="false">Attention!G$225+G105</f>
        <v>0.00251374002008972</v>
      </c>
      <c r="H118" s="10" t="n">
        <f aca="false">Attention!H$225+H105</f>
        <v>0.0668780594156287</v>
      </c>
      <c r="I118" s="10" t="n">
        <f aca="false">Attention!I$225+I105</f>
        <v>0.147704289726493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9" min="2" style="0" width="9"/>
  </cols>
  <sheetData>
    <row r="1" customFormat="false" ht="15" hidden="false" customHeight="false" outlineLevel="0" collapsed="false">
      <c r="A1" s="5" t="s">
        <v>372</v>
      </c>
      <c r="B1" s="5"/>
      <c r="C1" s="5"/>
      <c r="D1" s="5"/>
      <c r="E1" s="5"/>
      <c r="F1" s="5"/>
      <c r="G1" s="5"/>
      <c r="H1" s="5"/>
      <c r="I1" s="5"/>
      <c r="AP1" s="6" t="s">
        <v>373</v>
      </c>
      <c r="AQ1" s="0" t="n">
        <v>37</v>
      </c>
    </row>
    <row r="2" customFormat="false" ht="15" hidden="false" customHeight="false" outlineLevel="0" collapsed="false">
      <c r="AP2" s="0" t="s">
        <v>374</v>
      </c>
      <c r="AQ2" s="0" t="n">
        <v>31</v>
      </c>
    </row>
    <row r="3" customFormat="false" ht="15" hidden="false" customHeight="false" outlineLevel="0" collapsed="false">
      <c r="A3" s="0" t="s">
        <v>215</v>
      </c>
      <c r="B3" s="11" t="n">
        <v>1</v>
      </c>
      <c r="C3" s="11" t="n">
        <v>1</v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1</v>
      </c>
    </row>
    <row r="4" customFormat="false" ht="15" hidden="false" customHeight="false" outlineLevel="0" collapsed="false">
      <c r="A4" s="0" t="s">
        <v>216</v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</row>
    <row r="6" customFormat="false" ht="15" hidden="false" customHeight="false" outlineLevel="0" collapsed="false">
      <c r="A6" s="2" t="s">
        <v>375</v>
      </c>
    </row>
    <row r="7" customFormat="false" ht="15" hidden="false" customHeight="false" outlineLevel="0" collapsed="false">
      <c r="A7" s="0" t="s">
        <v>376</v>
      </c>
      <c r="B7" s="9" t="n">
        <f aca="false">AVERAGE(FFN!B118:I118)</f>
        <v>0.165341623994702</v>
      </c>
    </row>
    <row r="8" customFormat="false" ht="15" hidden="false" customHeight="false" outlineLevel="0" collapsed="false">
      <c r="A8" s="0" t="s">
        <v>377</v>
      </c>
      <c r="B8" s="9" t="n">
        <f aca="false">VARP(FFN!B118:I118)</f>
        <v>0.019085394049398</v>
      </c>
    </row>
    <row r="10" customFormat="false" ht="15" hidden="false" customHeight="false" outlineLevel="0" collapsed="false">
      <c r="A10" s="2" t="s">
        <v>378</v>
      </c>
    </row>
    <row r="11" customFormat="false" ht="15" hidden="false" customHeight="false" outlineLevel="0" collapsed="false">
      <c r="B11" s="2" t="s">
        <v>379</v>
      </c>
      <c r="C11" s="2" t="s">
        <v>380</v>
      </c>
      <c r="D11" s="2" t="s">
        <v>381</v>
      </c>
      <c r="E11" s="2" t="s">
        <v>382</v>
      </c>
      <c r="F11" s="2" t="s">
        <v>383</v>
      </c>
      <c r="G11" s="2" t="s">
        <v>384</v>
      </c>
      <c r="H11" s="2" t="s">
        <v>385</v>
      </c>
      <c r="I11" s="2" t="s">
        <v>386</v>
      </c>
    </row>
    <row r="12" customFormat="false" ht="15" hidden="false" customHeight="false" outlineLevel="0" collapsed="false">
      <c r="B12" s="9" t="n">
        <f aca="false">B3*(FFN!B$118-$B$7)/SQRT($B$8+Config!$B$10)+B4</f>
        <v>-0.0893039776470137</v>
      </c>
      <c r="C12" s="9" t="n">
        <f aca="false">C3*(FFN!C$118-$B$7)/SQRT($B$8+Config!$B$10)+C4</f>
        <v>2.33539571399425</v>
      </c>
      <c r="D12" s="9" t="n">
        <f aca="false">D3*(FFN!D$118-$B$7)/SQRT($B$8+Config!$B$10)+D4</f>
        <v>0.000559854011958964</v>
      </c>
      <c r="E12" s="9" t="n">
        <f aca="false">E3*(FFN!E$118-$B$7)/SQRT($B$8+Config!$B$10)+E4</f>
        <v>0.431489317186536</v>
      </c>
      <c r="F12" s="9" t="n">
        <f aca="false">F3*(FFN!F$118-$B$7)/SQRT($B$8+Config!$B$10)+F4</f>
        <v>-0.659639673495269</v>
      </c>
      <c r="G12" s="9" t="n">
        <f aca="false">G3*(FFN!G$118-$B$7)/SQRT($B$8+Config!$B$10)+G4</f>
        <v>-1.17832330322987</v>
      </c>
      <c r="H12" s="9" t="n">
        <f aca="false">H3*(FFN!H$118-$B$7)/SQRT($B$8+Config!$B$10)+H4</f>
        <v>-0.712543268576105</v>
      </c>
      <c r="I12" s="9" t="n">
        <f aca="false">I3*(FFN!I$118-$B$7)/SQRT($B$8+Config!$B$10)+I4</f>
        <v>-0.127634662244488</v>
      </c>
    </row>
    <row r="15" customFormat="false" ht="15" hidden="false" customHeight="false" outlineLevel="0" collapsed="false">
      <c r="A15" s="1" t="s">
        <v>387</v>
      </c>
    </row>
    <row r="16" customFormat="false" ht="15" hidden="false" customHeight="false" outlineLevel="0" collapsed="false">
      <c r="A16" s="0" t="s">
        <v>388</v>
      </c>
    </row>
    <row r="17" customFormat="false" ht="15" hidden="false" customHeight="false" outlineLevel="0" collapsed="false">
      <c r="B17" s="2" t="n">
        <v>0</v>
      </c>
      <c r="C17" s="2" t="n">
        <v>1</v>
      </c>
      <c r="D17" s="2" t="n">
        <v>2</v>
      </c>
      <c r="E17" s="2" t="n">
        <v>3</v>
      </c>
      <c r="F17" s="2" t="n">
        <v>4</v>
      </c>
      <c r="G17" s="2" t="n">
        <v>5</v>
      </c>
      <c r="H17" s="2" t="n">
        <v>6</v>
      </c>
      <c r="I17" s="2" t="n">
        <v>7</v>
      </c>
      <c r="J17" s="2" t="n">
        <v>8</v>
      </c>
      <c r="K17" s="2" t="n">
        <v>9</v>
      </c>
      <c r="L17" s="2" t="n">
        <v>10</v>
      </c>
      <c r="M17" s="2" t="n">
        <v>11</v>
      </c>
      <c r="N17" s="2" t="n">
        <v>12</v>
      </c>
      <c r="O17" s="2" t="n">
        <v>13</v>
      </c>
      <c r="P17" s="2" t="n">
        <v>14</v>
      </c>
      <c r="Q17" s="2" t="n">
        <v>15</v>
      </c>
      <c r="R17" s="2" t="n">
        <v>16</v>
      </c>
      <c r="S17" s="2" t="n">
        <v>17</v>
      </c>
      <c r="T17" s="2" t="n">
        <v>18</v>
      </c>
      <c r="U17" s="2" t="n">
        <v>19</v>
      </c>
      <c r="V17" s="2" t="n">
        <v>20</v>
      </c>
      <c r="W17" s="2" t="n">
        <v>21</v>
      </c>
      <c r="X17" s="2" t="n">
        <v>22</v>
      </c>
      <c r="Y17" s="2" t="n">
        <v>23</v>
      </c>
      <c r="Z17" s="2" t="n">
        <v>24</v>
      </c>
      <c r="AA17" s="2" t="n">
        <v>25</v>
      </c>
      <c r="AB17" s="2" t="n">
        <v>26</v>
      </c>
      <c r="AC17" s="2" t="n">
        <v>27</v>
      </c>
      <c r="AD17" s="2" t="n">
        <v>28</v>
      </c>
      <c r="AE17" s="2" t="n">
        <v>29</v>
      </c>
    </row>
    <row r="18" customFormat="false" ht="15" hidden="false" customHeight="false" outlineLevel="0" collapsed="false">
      <c r="A18" s="0" t="s">
        <v>174</v>
      </c>
      <c r="B18" s="4" t="n">
        <f aca="false">Embeddings!B$3</f>
        <v>0.0497</v>
      </c>
      <c r="C18" s="4" t="n">
        <f aca="false">Embeddings!B$4</f>
        <v>-0.0469</v>
      </c>
      <c r="D18" s="4" t="n">
        <f aca="false">Embeddings!B$5</f>
        <v>-0.1013</v>
      </c>
      <c r="E18" s="4" t="n">
        <f aca="false">Embeddings!B$6</f>
        <v>-0.0544</v>
      </c>
      <c r="F18" s="4" t="n">
        <f aca="false">Embeddings!B$7</f>
        <v>-0.0013</v>
      </c>
      <c r="G18" s="4" t="n">
        <f aca="false">Embeddings!B$8</f>
        <v>0.0738</v>
      </c>
      <c r="H18" s="4" t="n">
        <f aca="false">Embeddings!B$9</f>
        <v>0.0344</v>
      </c>
      <c r="I18" s="4" t="n">
        <f aca="false">Embeddings!B$10</f>
        <v>-0.0839</v>
      </c>
      <c r="J18" s="4" t="n">
        <f aca="false">Embeddings!B$11</f>
        <v>0.0813</v>
      </c>
      <c r="K18" s="4" t="n">
        <f aca="false">Embeddings!B$12</f>
        <v>-0.0036</v>
      </c>
      <c r="L18" s="4" t="n">
        <f aca="false">Embeddings!B$13</f>
        <v>-0.022</v>
      </c>
      <c r="M18" s="4" t="n">
        <f aca="false">Embeddings!B$14</f>
        <v>-0.053</v>
      </c>
      <c r="N18" s="4" t="n">
        <f aca="false">Embeddings!B$15</f>
        <v>0.0296</v>
      </c>
      <c r="O18" s="4" t="n">
        <f aca="false">Embeddings!B$16</f>
        <v>-0.0161</v>
      </c>
      <c r="P18" s="4" t="n">
        <f aca="false">Embeddings!B$17</f>
        <v>0.006</v>
      </c>
      <c r="Q18" s="4" t="n">
        <f aca="false">Embeddings!B$18</f>
        <v>0.0791</v>
      </c>
      <c r="R18" s="4" t="n">
        <f aca="false">Embeddings!B$19</f>
        <v>0.01</v>
      </c>
      <c r="S18" s="4" t="n">
        <f aca="false">Embeddings!B$20</f>
        <v>-0.0783</v>
      </c>
      <c r="T18" s="4" t="n">
        <f aca="false">Embeddings!B$21</f>
        <v>0.026</v>
      </c>
      <c r="U18" s="4" t="n">
        <f aca="false">Embeddings!B$22</f>
        <v>-0.068</v>
      </c>
      <c r="V18" s="4" t="n">
        <f aca="false">Embeddings!B$23</f>
        <v>-0.0975</v>
      </c>
      <c r="W18" s="4" t="n">
        <f aca="false">Embeddings!B$24</f>
        <v>-0.0245</v>
      </c>
      <c r="X18" s="4" t="n">
        <f aca="false">Embeddings!B$25</f>
        <v>0.0013</v>
      </c>
      <c r="Y18" s="4" t="n">
        <f aca="false">Embeddings!B$26</f>
        <v>-0.0223</v>
      </c>
      <c r="Z18" s="4" t="n">
        <f aca="false">Embeddings!B$27</f>
        <v>0.0214</v>
      </c>
      <c r="AA18" s="4" t="n">
        <f aca="false">Embeddings!B$28</f>
        <v>0.0358</v>
      </c>
      <c r="AB18" s="4" t="n">
        <f aca="false">Embeddings!B$29</f>
        <v>0.0515</v>
      </c>
      <c r="AC18" s="4" t="n">
        <f aca="false">Embeddings!B$30</f>
        <v>-0.0773</v>
      </c>
      <c r="AD18" s="4" t="n">
        <f aca="false">Embeddings!B$31</f>
        <v>-0.0472</v>
      </c>
      <c r="AE18" s="4" t="n">
        <f aca="false">Embeddings!B$32</f>
        <v>0.0046</v>
      </c>
    </row>
    <row r="19" customFormat="false" ht="15" hidden="false" customHeight="false" outlineLevel="0" collapsed="false">
      <c r="A19" s="0" t="s">
        <v>175</v>
      </c>
      <c r="B19" s="4" t="n">
        <f aca="false">Embeddings!C$3</f>
        <v>-0.0138</v>
      </c>
      <c r="C19" s="4" t="n">
        <f aca="false">Embeddings!C$4</f>
        <v>0.0543</v>
      </c>
      <c r="D19" s="4" t="n">
        <f aca="false">Embeddings!C$5</f>
        <v>0.0314</v>
      </c>
      <c r="E19" s="4" t="n">
        <f aca="false">Embeddings!C$6</f>
        <v>0.0111</v>
      </c>
      <c r="F19" s="4" t="n">
        <f aca="false">Embeddings!C$7</f>
        <v>-0.1058</v>
      </c>
      <c r="G19" s="4" t="n">
        <f aca="false">Embeddings!C$8</f>
        <v>0.0171</v>
      </c>
      <c r="H19" s="4" t="n">
        <f aca="false">Embeddings!C$9</f>
        <v>-0.1763</v>
      </c>
      <c r="I19" s="4" t="n">
        <f aca="false">Embeddings!C$10</f>
        <v>-0.0309</v>
      </c>
      <c r="J19" s="4" t="n">
        <f aca="false">Embeddings!C$11</f>
        <v>0.1356</v>
      </c>
      <c r="K19" s="4" t="n">
        <f aca="false">Embeddings!C$12</f>
        <v>0.1565</v>
      </c>
      <c r="L19" s="4" t="n">
        <f aca="false">Embeddings!C$13</f>
        <v>0.0357</v>
      </c>
      <c r="M19" s="4" t="n">
        <f aca="false">Embeddings!C$14</f>
        <v>0.0513</v>
      </c>
      <c r="N19" s="4" t="n">
        <f aca="false">Embeddings!C$15</f>
        <v>0.0261</v>
      </c>
      <c r="O19" s="4" t="n">
        <f aca="false">Embeddings!C$16</f>
        <v>0.0404</v>
      </c>
      <c r="P19" s="4" t="n">
        <f aca="false">Embeddings!C$17</f>
        <v>0.2463</v>
      </c>
      <c r="Q19" s="4" t="n">
        <f aca="false">Embeddings!C$18</f>
        <v>-0.0909</v>
      </c>
      <c r="R19" s="4" t="n">
        <f aca="false">Embeddings!C$19</f>
        <v>-0.0503</v>
      </c>
      <c r="S19" s="4" t="n">
        <f aca="false">Embeddings!C$20</f>
        <v>-0.0322</v>
      </c>
      <c r="T19" s="4" t="n">
        <f aca="false">Embeddings!C$21</f>
        <v>0.0782</v>
      </c>
      <c r="U19" s="4" t="n">
        <f aca="false">Embeddings!C$22</f>
        <v>0.0232</v>
      </c>
      <c r="V19" s="4" t="n">
        <f aca="false">Embeddings!C$23</f>
        <v>0.0787</v>
      </c>
      <c r="W19" s="4" t="n">
        <f aca="false">Embeddings!C$24</f>
        <v>-0.0754</v>
      </c>
      <c r="X19" s="4" t="n">
        <f aca="false">Embeddings!C$25</f>
        <v>0.1454</v>
      </c>
      <c r="Y19" s="4" t="n">
        <f aca="false">Embeddings!C$26</f>
        <v>0.0714</v>
      </c>
      <c r="Z19" s="4" t="n">
        <f aca="false">Embeddings!C$27</f>
        <v>-0.1246</v>
      </c>
      <c r="AA19" s="4" t="n">
        <f aca="false">Embeddings!C$28</f>
        <v>0.0561</v>
      </c>
      <c r="AB19" s="4" t="n">
        <f aca="false">Embeddings!C$29</f>
        <v>0.3853</v>
      </c>
      <c r="AC19" s="4" t="n">
        <f aca="false">Embeddings!C$30</f>
        <v>-0.0237</v>
      </c>
      <c r="AD19" s="4" t="n">
        <f aca="false">Embeddings!C$31</f>
        <v>0.1089</v>
      </c>
      <c r="AE19" s="4" t="n">
        <f aca="false">Embeddings!C$32</f>
        <v>-0.0652</v>
      </c>
    </row>
    <row r="20" customFormat="false" ht="15" hidden="false" customHeight="false" outlineLevel="0" collapsed="false">
      <c r="A20" s="0" t="s">
        <v>176</v>
      </c>
      <c r="B20" s="4" t="n">
        <f aca="false">Embeddings!D$3</f>
        <v>0.0648</v>
      </c>
      <c r="C20" s="4" t="n">
        <f aca="false">Embeddings!D$4</f>
        <v>-0.0463</v>
      </c>
      <c r="D20" s="4" t="n">
        <f aca="false">Embeddings!D$5</f>
        <v>-0.0908</v>
      </c>
      <c r="E20" s="4" t="n">
        <f aca="false">Embeddings!D$6</f>
        <v>-0.1151</v>
      </c>
      <c r="F20" s="4" t="n">
        <f aca="false">Embeddings!D$7</f>
        <v>0.0823</v>
      </c>
      <c r="G20" s="4" t="n">
        <f aca="false">Embeddings!D$8</f>
        <v>-0.0116</v>
      </c>
      <c r="H20" s="4" t="n">
        <f aca="false">Embeddings!D$9</f>
        <v>0.0324</v>
      </c>
      <c r="I20" s="4" t="n">
        <f aca="false">Embeddings!D$10</f>
        <v>0.0331</v>
      </c>
      <c r="J20" s="4" t="n">
        <f aca="false">Embeddings!D$11</f>
        <v>-0.0072</v>
      </c>
      <c r="K20" s="4" t="n">
        <f aca="false">Embeddings!D$12</f>
        <v>-0.262</v>
      </c>
      <c r="L20" s="4" t="n">
        <f aca="false">Embeddings!D$13</f>
        <v>0.1478</v>
      </c>
      <c r="M20" s="4" t="n">
        <f aca="false">Embeddings!D$14</f>
        <v>0.0097</v>
      </c>
      <c r="N20" s="4" t="n">
        <f aca="false">Embeddings!D$15</f>
        <v>0.0005</v>
      </c>
      <c r="O20" s="4" t="n">
        <f aca="false">Embeddings!D$16</f>
        <v>0.1886</v>
      </c>
      <c r="P20" s="4" t="n">
        <f aca="false">Embeddings!D$17</f>
        <v>-0.0192</v>
      </c>
      <c r="Q20" s="4" t="n">
        <f aca="false">Embeddings!D$18</f>
        <v>0.1403</v>
      </c>
      <c r="R20" s="4" t="n">
        <f aca="false">Embeddings!D$19</f>
        <v>-0.1551</v>
      </c>
      <c r="S20" s="4" t="n">
        <f aca="false">Embeddings!D$20</f>
        <v>0.0814</v>
      </c>
      <c r="T20" s="4" t="n">
        <f aca="false">Embeddings!D$21</f>
        <v>-0.1237</v>
      </c>
      <c r="U20" s="4" t="n">
        <f aca="false">Embeddings!D$22</f>
        <v>0.0293</v>
      </c>
      <c r="V20" s="4" t="n">
        <f aca="false">Embeddings!D$23</f>
        <v>0.1159</v>
      </c>
      <c r="W20" s="4" t="n">
        <f aca="false">Embeddings!D$24</f>
        <v>-0.089</v>
      </c>
      <c r="X20" s="4" t="n">
        <f aca="false">Embeddings!D$25</f>
        <v>-0.0265</v>
      </c>
      <c r="Y20" s="4" t="n">
        <f aca="false">Embeddings!D$26</f>
        <v>0.0473</v>
      </c>
      <c r="Z20" s="4" t="n">
        <f aca="false">Embeddings!D$27</f>
        <v>0.0173</v>
      </c>
      <c r="AA20" s="4" t="n">
        <f aca="false">Embeddings!D$28</f>
        <v>0.1083</v>
      </c>
      <c r="AB20" s="4" t="n">
        <f aca="false">Embeddings!D$29</f>
        <v>0.0571</v>
      </c>
      <c r="AC20" s="4" t="n">
        <f aca="false">Embeddings!D$30</f>
        <v>-0.0485</v>
      </c>
      <c r="AD20" s="4" t="n">
        <f aca="false">Embeddings!D$31</f>
        <v>0.0064</v>
      </c>
      <c r="AE20" s="4" t="n">
        <f aca="false">Embeddings!D$32</f>
        <v>0.2144</v>
      </c>
    </row>
    <row r="21" customFormat="false" ht="15" hidden="false" customHeight="false" outlineLevel="0" collapsed="false">
      <c r="A21" s="0" t="s">
        <v>177</v>
      </c>
      <c r="B21" s="4" t="n">
        <f aca="false">Embeddings!E$3</f>
        <v>0.1523</v>
      </c>
      <c r="C21" s="4" t="n">
        <f aca="false">Embeddings!E$4</f>
        <v>-0.0466</v>
      </c>
      <c r="D21" s="4" t="n">
        <f aca="false">Embeddings!E$5</f>
        <v>-0.1412</v>
      </c>
      <c r="E21" s="4" t="n">
        <f aca="false">Embeddings!E$6</f>
        <v>0.0376</v>
      </c>
      <c r="F21" s="4" t="n">
        <f aca="false">Embeddings!E$7</f>
        <v>-0.1221</v>
      </c>
      <c r="G21" s="4" t="n">
        <f aca="false">Embeddings!E$8</f>
        <v>-0.0301</v>
      </c>
      <c r="H21" s="4" t="n">
        <f aca="false">Embeddings!E$9</f>
        <v>-0.0385</v>
      </c>
      <c r="I21" s="4" t="n">
        <f aca="false">Embeddings!E$10</f>
        <v>0.0976</v>
      </c>
      <c r="J21" s="4" t="n">
        <f aca="false">Embeddings!E$11</f>
        <v>0.1004</v>
      </c>
      <c r="K21" s="4" t="n">
        <f aca="false">Embeddings!E$12</f>
        <v>0.0822</v>
      </c>
      <c r="L21" s="4" t="n">
        <f aca="false">Embeddings!E$13</f>
        <v>-0.0518</v>
      </c>
      <c r="M21" s="4" t="n">
        <f aca="false">Embeddings!E$14</f>
        <v>0.0969</v>
      </c>
      <c r="N21" s="4" t="n">
        <f aca="false">Embeddings!E$15</f>
        <v>-0.0235</v>
      </c>
      <c r="O21" s="4" t="n">
        <f aca="false">Embeddings!E$16</f>
        <v>0.0175</v>
      </c>
      <c r="P21" s="4" t="n">
        <f aca="false">Embeddings!E$17</f>
        <v>0.0302</v>
      </c>
      <c r="Q21" s="4" t="n">
        <f aca="false">Embeddings!E$18</f>
        <v>-0.1402</v>
      </c>
      <c r="R21" s="4" t="n">
        <f aca="false">Embeddings!E$19</f>
        <v>0.0069</v>
      </c>
      <c r="S21" s="4" t="n">
        <f aca="false">Embeddings!E$20</f>
        <v>-0.1231</v>
      </c>
      <c r="T21" s="4" t="n">
        <f aca="false">Embeddings!E$21</f>
        <v>-0.132</v>
      </c>
      <c r="U21" s="4" t="n">
        <f aca="false">Embeddings!E$22</f>
        <v>-0.0714</v>
      </c>
      <c r="V21" s="4" t="n">
        <f aca="false">Embeddings!E$23</f>
        <v>-0.0821</v>
      </c>
      <c r="W21" s="4" t="n">
        <f aca="false">Embeddings!E$24</f>
        <v>-0.0816</v>
      </c>
      <c r="X21" s="4" t="n">
        <f aca="false">Embeddings!E$25</f>
        <v>0.272</v>
      </c>
      <c r="Y21" s="4" t="n">
        <f aca="false">Embeddings!E$26</f>
        <v>-0.0073</v>
      </c>
      <c r="Z21" s="4" t="n">
        <f aca="false">Embeddings!E$27</f>
        <v>0.0385</v>
      </c>
      <c r="AA21" s="4" t="n">
        <f aca="false">Embeddings!E$28</f>
        <v>0.1054</v>
      </c>
      <c r="AB21" s="4" t="n">
        <f aca="false">Embeddings!E$29</f>
        <v>0.1136</v>
      </c>
      <c r="AC21" s="4" t="n">
        <f aca="false">Embeddings!E$30</f>
        <v>0.0082</v>
      </c>
      <c r="AD21" s="4" t="n">
        <f aca="false">Embeddings!E$31</f>
        <v>-0.1078</v>
      </c>
      <c r="AE21" s="4" t="n">
        <f aca="false">Embeddings!E$32</f>
        <v>0.0634</v>
      </c>
    </row>
    <row r="22" customFormat="false" ht="15" hidden="false" customHeight="false" outlineLevel="0" collapsed="false">
      <c r="A22" s="0" t="s">
        <v>178</v>
      </c>
      <c r="B22" s="4" t="n">
        <f aca="false">Embeddings!F$3</f>
        <v>-0.0234</v>
      </c>
      <c r="C22" s="4" t="n">
        <f aca="false">Embeddings!F$4</f>
        <v>0.0242</v>
      </c>
      <c r="D22" s="4" t="n">
        <f aca="false">Embeddings!F$5</f>
        <v>0.1466</v>
      </c>
      <c r="E22" s="4" t="n">
        <f aca="false">Embeddings!F$6</f>
        <v>-0.0601</v>
      </c>
      <c r="F22" s="4" t="n">
        <f aca="false">Embeddings!F$7</f>
        <v>0.0209</v>
      </c>
      <c r="G22" s="4" t="n">
        <f aca="false">Embeddings!F$8</f>
        <v>-0.1479</v>
      </c>
      <c r="H22" s="4" t="n">
        <f aca="false">Embeddings!F$9</f>
        <v>-0.0677</v>
      </c>
      <c r="I22" s="4" t="n">
        <f aca="false">Embeddings!F$10</f>
        <v>-0.0479</v>
      </c>
      <c r="J22" s="4" t="n">
        <f aca="false">Embeddings!F$11</f>
        <v>0.0362</v>
      </c>
      <c r="K22" s="4" t="n">
        <f aca="false">Embeddings!F$12</f>
        <v>0.0087</v>
      </c>
      <c r="L22" s="4" t="n">
        <f aca="false">Embeddings!F$13</f>
        <v>-0.0808</v>
      </c>
      <c r="M22" s="4" t="n">
        <f aca="false">Embeddings!F$14</f>
        <v>-0.0702</v>
      </c>
      <c r="N22" s="4" t="n">
        <f aca="false">Embeddings!F$15</f>
        <v>-0.1415</v>
      </c>
      <c r="O22" s="4" t="n">
        <f aca="false">Embeddings!F$16</f>
        <v>0.0258</v>
      </c>
      <c r="P22" s="4" t="n">
        <f aca="false">Embeddings!F$17</f>
        <v>-0.0035</v>
      </c>
      <c r="Q22" s="4" t="n">
        <f aca="false">Embeddings!F$18</f>
        <v>0.0587</v>
      </c>
      <c r="R22" s="4" t="n">
        <f aca="false">Embeddings!F$19</f>
        <v>-0.1062</v>
      </c>
      <c r="S22" s="4" t="n">
        <f aca="false">Embeddings!F$20</f>
        <v>0.0227</v>
      </c>
      <c r="T22" s="4" t="n">
        <f aca="false">Embeddings!F$21</f>
        <v>0.0522</v>
      </c>
      <c r="U22" s="4" t="n">
        <f aca="false">Embeddings!F$22</f>
        <v>0.1866</v>
      </c>
      <c r="V22" s="4" t="n">
        <f aca="false">Embeddings!F$23</f>
        <v>0.0963</v>
      </c>
      <c r="W22" s="4" t="n">
        <f aca="false">Embeddings!F$24</f>
        <v>-0.0077</v>
      </c>
      <c r="X22" s="4" t="n">
        <f aca="false">Embeddings!F$25</f>
        <v>0.0626</v>
      </c>
      <c r="Y22" s="4" t="n">
        <f aca="false">Embeddings!F$26</f>
        <v>-0.0847</v>
      </c>
      <c r="Z22" s="4" t="n">
        <f aca="false">Embeddings!F$27</f>
        <v>-0.0884</v>
      </c>
      <c r="AA22" s="4" t="n">
        <f aca="false">Embeddings!F$28</f>
        <v>-0.1378</v>
      </c>
      <c r="AB22" s="4" t="n">
        <f aca="false">Embeddings!F$29</f>
        <v>0.0954</v>
      </c>
      <c r="AC22" s="4" t="n">
        <f aca="false">Embeddings!F$30</f>
        <v>0.2315</v>
      </c>
      <c r="AD22" s="4" t="n">
        <f aca="false">Embeddings!F$31</f>
        <v>-0.0715</v>
      </c>
      <c r="AE22" s="4" t="n">
        <f aca="false">Embeddings!F$32</f>
        <v>-0.2025</v>
      </c>
    </row>
    <row r="23" customFormat="false" ht="15" hidden="false" customHeight="false" outlineLevel="0" collapsed="false">
      <c r="A23" s="0" t="s">
        <v>179</v>
      </c>
      <c r="B23" s="4" t="n">
        <f aca="false">Embeddings!G$3</f>
        <v>-0.0234</v>
      </c>
      <c r="C23" s="4" t="n">
        <f aca="false">Embeddings!G$4</f>
        <v>-0.1913</v>
      </c>
      <c r="D23" s="4" t="n">
        <f aca="false">Embeddings!G$5</f>
        <v>-0.0226</v>
      </c>
      <c r="E23" s="4" t="n">
        <f aca="false">Embeddings!G$6</f>
        <v>-0.0292</v>
      </c>
      <c r="F23" s="4" t="n">
        <f aca="false">Embeddings!G$7</f>
        <v>-0.196</v>
      </c>
      <c r="G23" s="4" t="n">
        <f aca="false">Embeddings!G$8</f>
        <v>-0.072</v>
      </c>
      <c r="H23" s="4" t="n">
        <f aca="false">Embeddings!G$9</f>
        <v>0.0612</v>
      </c>
      <c r="I23" s="4" t="n">
        <f aca="false">Embeddings!G$10</f>
        <v>-0.0186</v>
      </c>
      <c r="J23" s="4" t="n">
        <f aca="false">Embeddings!G$11</f>
        <v>-0.0645</v>
      </c>
      <c r="K23" s="4" t="n">
        <f aca="false">Embeddings!G$12</f>
        <v>-0.0299</v>
      </c>
      <c r="L23" s="4" t="n">
        <f aca="false">Embeddings!G$13</f>
        <v>-0.0502</v>
      </c>
      <c r="M23" s="4" t="n">
        <f aca="false">Embeddings!G$14</f>
        <v>-0.0328</v>
      </c>
      <c r="N23" s="4" t="n">
        <f aca="false">Embeddings!G$15</f>
        <v>-0.0421</v>
      </c>
      <c r="O23" s="4" t="n">
        <f aca="false">Embeddings!G$16</f>
        <v>-0.0074</v>
      </c>
      <c r="P23" s="4" t="n">
        <f aca="false">Embeddings!G$17</f>
        <v>-0.1169</v>
      </c>
      <c r="Q23" s="4" t="n">
        <f aca="false">Embeddings!G$18</f>
        <v>0.219</v>
      </c>
      <c r="R23" s="4" t="n">
        <f aca="false">Embeddings!G$19</f>
        <v>0.0474</v>
      </c>
      <c r="S23" s="4" t="n">
        <f aca="false">Embeddings!G$20</f>
        <v>0.1307</v>
      </c>
      <c r="T23" s="4" t="n">
        <f aca="false">Embeddings!G$21</f>
        <v>0.0297</v>
      </c>
      <c r="U23" s="4" t="n">
        <f aca="false">Embeddings!G$22</f>
        <v>0.0474</v>
      </c>
      <c r="V23" s="4" t="n">
        <f aca="false">Embeddings!G$23</f>
        <v>0.0413</v>
      </c>
      <c r="W23" s="4" t="n">
        <f aca="false">Embeddings!G$24</f>
        <v>0.0341</v>
      </c>
      <c r="X23" s="4" t="n">
        <f aca="false">Embeddings!G$25</f>
        <v>-0.0857</v>
      </c>
      <c r="Y23" s="4" t="n">
        <f aca="false">Embeddings!G$26</f>
        <v>-0.1515</v>
      </c>
      <c r="Z23" s="4" t="n">
        <f aca="false">Embeddings!G$27</f>
        <v>0.0154</v>
      </c>
      <c r="AA23" s="4" t="n">
        <f aca="false">Embeddings!G$28</f>
        <v>-0.0938</v>
      </c>
      <c r="AB23" s="4" t="n">
        <f aca="false">Embeddings!G$29</f>
        <v>0.0651</v>
      </c>
      <c r="AC23" s="4" t="n">
        <f aca="false">Embeddings!G$30</f>
        <v>-0.1867</v>
      </c>
      <c r="AD23" s="4" t="n">
        <f aca="false">Embeddings!G$31</f>
        <v>0.068</v>
      </c>
      <c r="AE23" s="4" t="n">
        <f aca="false">Embeddings!G$32</f>
        <v>0.0186</v>
      </c>
    </row>
    <row r="24" customFormat="false" ht="15" hidden="false" customHeight="false" outlineLevel="0" collapsed="false">
      <c r="A24" s="0" t="s">
        <v>180</v>
      </c>
      <c r="B24" s="4" t="n">
        <f aca="false">Embeddings!H$3</f>
        <v>0.1579</v>
      </c>
      <c r="C24" s="4" t="n">
        <f aca="false">Embeddings!H$4</f>
        <v>-0.1725</v>
      </c>
      <c r="D24" s="4" t="n">
        <f aca="false">Embeddings!H$5</f>
        <v>0.0068</v>
      </c>
      <c r="E24" s="4" t="n">
        <f aca="false">Embeddings!H$6</f>
        <v>-0.0602</v>
      </c>
      <c r="F24" s="4" t="n">
        <f aca="false">Embeddings!H$7</f>
        <v>-0.1328</v>
      </c>
      <c r="G24" s="4" t="n">
        <f aca="false">Embeddings!H$8</f>
        <v>-0.0461</v>
      </c>
      <c r="H24" s="4" t="n">
        <f aca="false">Embeddings!H$9</f>
        <v>0.1031</v>
      </c>
      <c r="I24" s="4" t="n">
        <f aca="false">Embeddings!H$10</f>
        <v>-0.1106</v>
      </c>
      <c r="J24" s="4" t="n">
        <f aca="false">Embeddings!H$11</f>
        <v>0.0361</v>
      </c>
      <c r="K24" s="4" t="n">
        <f aca="false">Embeddings!H$12</f>
        <v>0.0092</v>
      </c>
      <c r="L24" s="4" t="n">
        <f aca="false">Embeddings!H$13</f>
        <v>0.0915</v>
      </c>
      <c r="M24" s="4" t="n">
        <f aca="false">Embeddings!H$14</f>
        <v>-0.0392</v>
      </c>
      <c r="N24" s="4" t="n">
        <f aca="false">Embeddings!H$15</f>
        <v>-0.0343</v>
      </c>
      <c r="O24" s="4" t="n">
        <f aca="false">Embeddings!H$16</f>
        <v>-0.1919</v>
      </c>
      <c r="P24" s="4" t="n">
        <f aca="false">Embeddings!H$17</f>
        <v>0.1143</v>
      </c>
      <c r="Q24" s="4" t="n">
        <f aca="false">Embeddings!H$18</f>
        <v>-0.0991</v>
      </c>
      <c r="R24" s="4" t="n">
        <f aca="false">Embeddings!H$19</f>
        <v>-0.0919</v>
      </c>
      <c r="S24" s="4" t="n">
        <f aca="false">Embeddings!H$20</f>
        <v>-0.1607</v>
      </c>
      <c r="T24" s="4" t="n">
        <f aca="false">Embeddings!H$21</f>
        <v>0.025</v>
      </c>
      <c r="U24" s="4" t="n">
        <f aca="false">Embeddings!H$22</f>
        <v>-0.1191</v>
      </c>
      <c r="V24" s="4" t="n">
        <f aca="false">Embeddings!H$23</f>
        <v>0.0822</v>
      </c>
      <c r="W24" s="4" t="n">
        <f aca="false">Embeddings!H$24</f>
        <v>0.0277</v>
      </c>
      <c r="X24" s="4" t="n">
        <f aca="false">Embeddings!H$25</f>
        <v>-0.1071</v>
      </c>
      <c r="Y24" s="4" t="n">
        <f aca="false">Embeddings!H$26</f>
        <v>-0.0447</v>
      </c>
      <c r="Z24" s="4" t="n">
        <f aca="false">Embeddings!H$27</f>
        <v>0.0058</v>
      </c>
      <c r="AA24" s="4" t="n">
        <f aca="false">Embeddings!H$28</f>
        <v>0.0515</v>
      </c>
      <c r="AB24" s="4" t="n">
        <f aca="false">Embeddings!H$29</f>
        <v>-0.0315</v>
      </c>
      <c r="AC24" s="4" t="n">
        <f aca="false">Embeddings!H$30</f>
        <v>0.0686</v>
      </c>
      <c r="AD24" s="4" t="n">
        <f aca="false">Embeddings!H$31</f>
        <v>-0.073</v>
      </c>
      <c r="AE24" s="4" t="n">
        <f aca="false">Embeddings!H$32</f>
        <v>-0.0662</v>
      </c>
    </row>
    <row r="25" customFormat="false" ht="15" hidden="false" customHeight="false" outlineLevel="0" collapsed="false">
      <c r="A25" s="0" t="s">
        <v>181</v>
      </c>
      <c r="B25" s="4" t="n">
        <f aca="false">Embeddings!I$3</f>
        <v>0.0767</v>
      </c>
      <c r="C25" s="4" t="n">
        <f aca="false">Embeddings!I$4</f>
        <v>-0.0562</v>
      </c>
      <c r="D25" s="4" t="n">
        <f aca="false">Embeddings!I$5</f>
        <v>-0.1425</v>
      </c>
      <c r="E25" s="4" t="n">
        <f aca="false">Embeddings!I$6</f>
        <v>0.1852</v>
      </c>
      <c r="F25" s="4" t="n">
        <f aca="false">Embeddings!I$7</f>
        <v>0.0197</v>
      </c>
      <c r="G25" s="4" t="n">
        <f aca="false">Embeddings!I$8</f>
        <v>0.1057</v>
      </c>
      <c r="H25" s="4" t="n">
        <f aca="false">Embeddings!I$9</f>
        <v>0.0931</v>
      </c>
      <c r="I25" s="4" t="n">
        <f aca="false">Embeddings!I$10</f>
        <v>-0.1196</v>
      </c>
      <c r="J25" s="4" t="n">
        <f aca="false">Embeddings!I$11</f>
        <v>0.1538</v>
      </c>
      <c r="K25" s="4" t="n">
        <f aca="false">Embeddings!I$12</f>
        <v>-0.1988</v>
      </c>
      <c r="L25" s="4" t="n">
        <f aca="false">Embeddings!I$13</f>
        <v>0.0329</v>
      </c>
      <c r="M25" s="4" t="n">
        <f aca="false">Embeddings!I$14</f>
        <v>-0.1464</v>
      </c>
      <c r="N25" s="4" t="n">
        <f aca="false">Embeddings!I$15</f>
        <v>-0.0802</v>
      </c>
      <c r="O25" s="4" t="n">
        <f aca="false">Embeddings!I$16</f>
        <v>-0.0027</v>
      </c>
      <c r="P25" s="4" t="n">
        <f aca="false">Embeddings!I$17</f>
        <v>0.0752</v>
      </c>
      <c r="Q25" s="4" t="n">
        <f aca="false">Embeddings!I$18</f>
        <v>-0.0566</v>
      </c>
      <c r="R25" s="4" t="n">
        <f aca="false">Embeddings!I$19</f>
        <v>0.155</v>
      </c>
      <c r="S25" s="4" t="n">
        <f aca="false">Embeddings!I$20</f>
        <v>0.0185</v>
      </c>
      <c r="T25" s="4" t="n">
        <f aca="false">Embeddings!I$21</f>
        <v>0.0346</v>
      </c>
      <c r="U25" s="4" t="n">
        <f aca="false">Embeddings!I$22</f>
        <v>0.0657</v>
      </c>
      <c r="V25" s="4" t="n">
        <f aca="false">Embeddings!I$23</f>
        <v>0.1897</v>
      </c>
      <c r="W25" s="4" t="n">
        <f aca="false">Embeddings!I$24</f>
        <v>0.0827</v>
      </c>
      <c r="X25" s="4" t="n">
        <f aca="false">Embeddings!I$25</f>
        <v>0.0482</v>
      </c>
      <c r="Y25" s="4" t="n">
        <f aca="false">Embeddings!I$26</f>
        <v>0.0856</v>
      </c>
      <c r="Z25" s="4" t="n">
        <f aca="false">Embeddings!I$27</f>
        <v>-0.1143</v>
      </c>
      <c r="AA25" s="4" t="n">
        <f aca="false">Embeddings!I$28</f>
        <v>0.0514</v>
      </c>
      <c r="AB25" s="4" t="n">
        <f aca="false">Embeddings!I$29</f>
        <v>0.0759</v>
      </c>
      <c r="AC25" s="4" t="n">
        <f aca="false">Embeddings!I$30</f>
        <v>-0.1613</v>
      </c>
      <c r="AD25" s="4" t="n">
        <f aca="false">Embeddings!I$31</f>
        <v>0.0216</v>
      </c>
      <c r="AE25" s="4" t="n">
        <f aca="false">Embeddings!I$32</f>
        <v>0.0852</v>
      </c>
    </row>
    <row r="28" customFormat="false" ht="15" hidden="false" customHeight="false" outlineLevel="0" collapsed="false">
      <c r="A28" s="1" t="s">
        <v>389</v>
      </c>
    </row>
    <row r="30" customFormat="false" ht="15" hidden="false" customHeight="false" outlineLevel="0" collapsed="false"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83</v>
      </c>
      <c r="N30" s="2" t="s">
        <v>84</v>
      </c>
      <c r="O30" s="2" t="s">
        <v>85</v>
      </c>
      <c r="P30" s="2" t="s">
        <v>86</v>
      </c>
      <c r="Q30" s="2" t="s">
        <v>87</v>
      </c>
      <c r="R30" s="2" t="s">
        <v>88</v>
      </c>
      <c r="S30" s="2" t="s">
        <v>89</v>
      </c>
      <c r="T30" s="2" t="s">
        <v>90</v>
      </c>
      <c r="U30" s="2" t="s">
        <v>91</v>
      </c>
      <c r="V30" s="2" t="s">
        <v>92</v>
      </c>
      <c r="W30" s="2" t="s">
        <v>93</v>
      </c>
      <c r="X30" s="2" t="s">
        <v>94</v>
      </c>
      <c r="Y30" s="2" t="s">
        <v>95</v>
      </c>
      <c r="Z30" s="2" t="s">
        <v>96</v>
      </c>
      <c r="AA30" s="2" t="s">
        <v>97</v>
      </c>
      <c r="AB30" s="2" t="s">
        <v>390</v>
      </c>
      <c r="AC30" s="2" t="s">
        <v>100</v>
      </c>
      <c r="AD30" s="2" t="s">
        <v>101</v>
      </c>
      <c r="AE30" s="2" t="s">
        <v>102</v>
      </c>
    </row>
    <row r="31" customFormat="false" ht="15" hidden="false" customHeight="false" outlineLevel="0" collapsed="false">
      <c r="A31" s="0" t="s">
        <v>391</v>
      </c>
      <c r="B31" s="9" t="n">
        <f aca="false">B12*B18+C12*B19+D12*B20+E12*B21+F12*B22+G12*B23+H12*B24+I12*B25</f>
        <v>-0.0502065940416437</v>
      </c>
      <c r="C31" s="9" t="n">
        <f aca="false">B12*C18+C12*C19+D12*C20+E12*C21+F12*C22+G12*C23+H12*C24+I12*C25</f>
        <v>0.450403770056693</v>
      </c>
      <c r="D31" s="9" t="n">
        <f aca="false">B12*D18+C12*D19+D12*D20+E12*D21+F12*D22+G12*D23+H12*D24+I12*D25</f>
        <v>-0.0353296323138524</v>
      </c>
      <c r="E31" s="9" t="n">
        <f aca="false">B12*E18+C12*E19+D12*E20+E12*E21+F12*E22+G12*E23+H12*E24+I12*E25</f>
        <v>0.140249138090751</v>
      </c>
      <c r="F31" s="9" t="n">
        <f aca="false">B12*F18+C12*F19+D12*F20+E12*F21+F12*F22+G12*F23+H12*F24+I12*F25</f>
        <v>0.00966870046475109</v>
      </c>
      <c r="G31" s="9" t="n">
        <f aca="false">B12*G18+C12*G19+D12*G20+E12*G21+F12*G22+G12*G23+H12*G24+I12*G25</f>
        <v>0.222107556829715</v>
      </c>
      <c r="H31" s="9" t="n">
        <f aca="false">B12*H18+C12*H19+D12*H20+E12*H21+F12*H22+G12*H23+H12*H24+I12*H25</f>
        <v>-0.544198298957134</v>
      </c>
      <c r="I31" s="9" t="n">
        <f aca="false">B12*I18+C12*I19+D12*I20+E12*I21+F12*I22+G12*I23+H12*I24+I12*I25</f>
        <v>0.125046709596821</v>
      </c>
      <c r="J31" s="9" t="n">
        <f aca="false">B12*J18+C12*J19+D12*J20+E12*J21+F12*J22+G12*J23+H12*J24+I12*J25</f>
        <v>0.359506615760558</v>
      </c>
      <c r="K31" s="9" t="n">
        <f aca="false">B12*K18+C12*K19+D12*K20+E12*K21+F12*K22+G12*K23+H12*K24+I12*K25</f>
        <v>0.449444038071697</v>
      </c>
      <c r="L31" s="9" t="n">
        <f aca="false">B12*L18+C12*L19+D12*L20+E12*L21+F12*L22+G12*L23+H12*L24+I12*L25</f>
        <v>0.106123740268534</v>
      </c>
      <c r="M31" s="9" t="n">
        <f aca="false">B12*M18+C12*M19+D12*M20+E12*M21+F12*M22+G12*M23+H12*M24+I12*M25</f>
        <v>0.297928776468572</v>
      </c>
      <c r="N31" s="9" t="n">
        <f aca="false">B12*N18+C12*N19+D12*N20+E12*N21+F12*N22+G12*N23+H12*N24+I12*N25</f>
        <v>0.225793670259747</v>
      </c>
      <c r="O31" s="9" t="n">
        <f aca="false">B12*O18+C12*O19+D12*O20+E12*O21+F12*O22+G12*O23+H12*O24+I12*O25</f>
        <v>0.232226988098442</v>
      </c>
      <c r="P31" s="9" t="n">
        <f aca="false">B12*P18+C12*P19+D12*P20+E12*P21+F12*P22+G12*P23+H12*P24+I12*P25</f>
        <v>0.636705279478676</v>
      </c>
      <c r="Q31" s="9" t="n">
        <f aca="false">B12*Q18+C12*Q19+D12*Q20+E12*Q21+F12*Q22+G12*Q23+H12*Q24+I12*Q25</f>
        <v>-0.498704162228214</v>
      </c>
      <c r="R31" s="9" t="n">
        <f aca="false">B12*R18+C12*R19+D12*R20+E12*R21+F12*R22+G12*R23+H12*R24+I12*R25</f>
        <v>-0.0555724387726983</v>
      </c>
      <c r="S31" s="9" t="n">
        <f aca="false">B12*S18+C12*S19+D12*S20+E12*S21+F12*S22+G12*S23+H12*S24+I12*S25</f>
        <v>-0.178114217681772</v>
      </c>
      <c r="T31" s="9" t="n">
        <f aca="false">B12*T18+C12*T19+D12*T20+E12*T21+F12*T22+G12*T23+H12*T24+I12*T25</f>
        <v>0.0316210635151837</v>
      </c>
      <c r="U31" s="9" t="n">
        <f aca="false">B12*U18+C12*U19+D12*U20+E12*U21+F12*U22+G12*U23+H12*U24+I12*U25</f>
        <v>-0.0730010641492667</v>
      </c>
      <c r="V31" s="9" t="n">
        <f aca="false">B12*V18+C12*V19+D12*V20+E12*V21+F12*V22+G12*V23+H12*V24+I12*V25</f>
        <v>-0.0378290104348206</v>
      </c>
      <c r="W31" s="9" t="n">
        <f aca="false">B12*W18+C12*W19+D12*W20+E12*W21+F12*W22+G12*W23+H12*W24+I12*W25</f>
        <v>-0.274554678933702</v>
      </c>
      <c r="X31" s="9" t="n">
        <f aca="false">B12*X18+C12*X19+D12*X20+E12*X21+F12*X22+G12*X23+H12*X24+I12*X25</f>
        <v>0.586650956657556</v>
      </c>
      <c r="Y31" s="9" t="n">
        <f aca="false">B12*Y18+C12*Y19+D12*Y20+E12*Y21+F12*Y22+G12*Y23+H12*Y24+I12*Y25</f>
        <v>0.42092795956162</v>
      </c>
      <c r="Z31" s="9" t="n">
        <f aca="false">B12*Z18+C12*Z19+D12*Z20+E12*Z21+F12*Z22+G12*Z23+H12*Z24+I12*Z25</f>
        <v>-0.225657527695196</v>
      </c>
      <c r="AA31" s="9" t="n">
        <f aca="false">B12*AA18+C12*AA19+D12*AA20+E12*AA21+F12*AA22+G12*AA23+H12*AA24+I12*AA25</f>
        <v>0.331526896255844</v>
      </c>
      <c r="AB31" s="9" t="n">
        <f aca="false">B12*AB18+C12*AB19+D12*AB20+E12*AB21+F12*AB22+G12*AB23+H12*AB24+I12*AB25</f>
        <v>0.817397138053713</v>
      </c>
      <c r="AC31" s="9" t="n">
        <f aca="false">B12*AC18+C12*AC19+D12*AC20+E12*AC21+F12*AC22+G12*AC23+H12*AC24+I12*AC25</f>
        <v>-0.00594124237362326</v>
      </c>
      <c r="AD31" s="9" t="n">
        <f aca="false">B12*AD18+C12*AD19+D12*AD20+E12*AD21+F12*AD22+G12*AD23+H12*AD24+I12*AD25</f>
        <v>0.228325777608736</v>
      </c>
      <c r="AE31" s="9" t="n">
        <f aca="false">B12*AE18+C12*AE19+D12*AE20+E12*AE21+F12*AE22+G12*AE23+H12*AE24+I12*AE25</f>
        <v>0.0227539681594134</v>
      </c>
    </row>
    <row r="34" customFormat="false" ht="15" hidden="false" customHeight="false" outlineLevel="0" collapsed="false">
      <c r="A34" s="1" t="s">
        <v>392</v>
      </c>
    </row>
    <row r="36" customFormat="false" ht="15" hidden="false" customHeight="false" outlineLevel="0" collapsed="false"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83</v>
      </c>
      <c r="N36" s="2" t="s">
        <v>84</v>
      </c>
      <c r="O36" s="2" t="s">
        <v>85</v>
      </c>
      <c r="P36" s="2" t="s">
        <v>86</v>
      </c>
      <c r="Q36" s="2" t="s">
        <v>87</v>
      </c>
      <c r="R36" s="2" t="s">
        <v>88</v>
      </c>
      <c r="S36" s="2" t="s">
        <v>89</v>
      </c>
      <c r="T36" s="2" t="s">
        <v>90</v>
      </c>
      <c r="U36" s="2" t="s">
        <v>91</v>
      </c>
      <c r="V36" s="2" t="s">
        <v>92</v>
      </c>
      <c r="W36" s="2" t="s">
        <v>93</v>
      </c>
      <c r="X36" s="2" t="s">
        <v>94</v>
      </c>
      <c r="Y36" s="2" t="s">
        <v>95</v>
      </c>
      <c r="Z36" s="2" t="s">
        <v>96</v>
      </c>
      <c r="AA36" s="2" t="s">
        <v>97</v>
      </c>
      <c r="AB36" s="2" t="s">
        <v>390</v>
      </c>
      <c r="AC36" s="2" t="s">
        <v>100</v>
      </c>
      <c r="AD36" s="2" t="s">
        <v>101</v>
      </c>
      <c r="AE36" s="2" t="s">
        <v>102</v>
      </c>
    </row>
    <row r="37" customFormat="false" ht="15" hidden="false" customHeight="false" outlineLevel="0" collapsed="false">
      <c r="A37" s="0" t="s">
        <v>393</v>
      </c>
      <c r="B37" s="10" t="n">
        <f aca="false">EXP(B31)/SUMPRODUCT(EXP(B31:AE31))</f>
        <v>0.0267166360752662</v>
      </c>
      <c r="C37" s="10" t="n">
        <f aca="false">EXP(C31)/SUMPRODUCT(EXP(B31:AE31))</f>
        <v>0.0440751798779619</v>
      </c>
      <c r="D37" s="10" t="n">
        <f aca="false">EXP(D31)/SUMPRODUCT(EXP(B31:AE31))</f>
        <v>0.0271170696799224</v>
      </c>
      <c r="E37" s="10" t="n">
        <f aca="false">EXP(E31)/SUMPRODUCT(EXP(B31:AE31))</f>
        <v>0.0323218081553474</v>
      </c>
      <c r="F37" s="10" t="n">
        <f aca="false">EXP(F31)/SUMPRODUCT(EXP(B31:AE31))</f>
        <v>0.0283651630732386</v>
      </c>
      <c r="G37" s="10" t="n">
        <f aca="false">EXP(G31)/SUMPRODUCT(EXP(B31:AE31))</f>
        <v>0.0350789275760163</v>
      </c>
      <c r="H37" s="10" t="n">
        <f aca="false">EXP(H31)/SUMPRODUCT(EXP(B31:AE31))</f>
        <v>0.0163021131488001</v>
      </c>
      <c r="I37" s="10" t="n">
        <f aca="false">EXP(I31)/SUMPRODUCT(EXP(B31:AE31))</f>
        <v>0.0318341543311927</v>
      </c>
      <c r="J37" s="10" t="n">
        <f aca="false">EXP(J31)/SUMPRODUCT(EXP(B31:AE31))</f>
        <v>0.040245558709627</v>
      </c>
      <c r="K37" s="10" t="n">
        <f aca="false">EXP(K31)/SUMPRODUCT(EXP(B31:AE31))</f>
        <v>0.0440328998101006</v>
      </c>
      <c r="L37" s="10" t="n">
        <f aca="false">EXP(L31)/SUMPRODUCT(EXP(B31:AE31))</f>
        <v>0.0312374213910963</v>
      </c>
      <c r="M37" s="10" t="n">
        <f aca="false">EXP(M31)/SUMPRODUCT(EXP(B31:AE31))</f>
        <v>0.0378420839698586</v>
      </c>
      <c r="N37" s="10" t="n">
        <f aca="false">EXP(N31)/SUMPRODUCT(EXP(B31:AE31))</f>
        <v>0.035208471091431</v>
      </c>
      <c r="O37" s="10" t="n">
        <f aca="false">EXP(O31)/SUMPRODUCT(EXP(B31:AE31))</f>
        <v>0.0354357085382033</v>
      </c>
      <c r="P37" s="10" t="n">
        <f aca="false">EXP(P31)/SUMPRODUCT(EXP(B31:AE31))</f>
        <v>0.053101135854529</v>
      </c>
      <c r="Q37" s="10" t="n">
        <f aca="false">EXP(Q31)/SUMPRODUCT(EXP(B31:AE31))</f>
        <v>0.017060892860274</v>
      </c>
      <c r="R37" s="10" t="n">
        <f aca="false">EXP(R31)/SUMPRODUCT(EXP(B31:AE31))</f>
        <v>0.0265736626839037</v>
      </c>
      <c r="S37" s="10" t="n">
        <f aca="false">EXP(S31)/SUMPRODUCT(EXP(B31:AE31))</f>
        <v>0.0235088940959597</v>
      </c>
      <c r="T37" s="10" t="n">
        <f aca="false">EXP(T31)/SUMPRODUCT(EXP(B31:AE31))</f>
        <v>0.0289947303937</v>
      </c>
      <c r="U37" s="10" t="n">
        <f aca="false">EXP(U31)/SUMPRODUCT(EXP(B31:AE31))</f>
        <v>0.0261145328945824</v>
      </c>
      <c r="V37" s="10" t="n">
        <f aca="false">EXP(V31)/SUMPRODUCT(EXP(B31:AE31))</f>
        <v>0.0270493784974282</v>
      </c>
      <c r="W37" s="10" t="n">
        <f aca="false">EXP(W31)/SUMPRODUCT(EXP(B31:AE31))</f>
        <v>0.0213475794910766</v>
      </c>
      <c r="X37" s="10" t="n">
        <f aca="false">EXP(X31)/SUMPRODUCT(EXP(B31:AE31))</f>
        <v>0.0505086190540339</v>
      </c>
      <c r="Y37" s="10" t="n">
        <f aca="false">EXP(Y31)/SUMPRODUCT(EXP(B31:AE31))</f>
        <v>0.0427949882581621</v>
      </c>
      <c r="Z37" s="10" t="n">
        <f aca="false">EXP(Z31)/SUMPRODUCT(EXP(B31:AE31))</f>
        <v>0.022417356704628</v>
      </c>
      <c r="AA37" s="10" t="n">
        <f aca="false">EXP(AA31)/SUMPRODUCT(EXP(B31:AE31))</f>
        <v>0.0391351067759583</v>
      </c>
      <c r="AB37" s="10" t="n">
        <f aca="false">EXP(AB31)/SUMPRODUCT(EXP(B31:AE31))</f>
        <v>0.0636176010069589</v>
      </c>
      <c r="AC37" s="10" t="n">
        <f aca="false">EXP(AC31)/SUMPRODUCT(EXP(B31:AE31))</f>
        <v>0.0279258224611375</v>
      </c>
      <c r="AD37" s="10" t="n">
        <f aca="false">EXP(AD31)/SUMPRODUCT(EXP(B31:AE31))</f>
        <v>0.0352977356859023</v>
      </c>
      <c r="AE37" s="10" t="n">
        <f aca="false">EXP(AE31)/SUMPRODUCT(EXP(B31:AE31))</f>
        <v>0.0287387678537028</v>
      </c>
    </row>
    <row r="40" customFormat="false" ht="15" hidden="false" customHeight="false" outlineLevel="0" collapsed="false">
      <c r="A40" s="1" t="s">
        <v>394</v>
      </c>
    </row>
    <row r="42" customFormat="false" ht="15" hidden="false" customHeight="false" outlineLevel="0" collapsed="false">
      <c r="A42" s="0" t="s">
        <v>395</v>
      </c>
      <c r="B42" s="10" t="n">
        <f aca="false">MATCH(MAX(B37:AE37),B37:AE37,0)-1</f>
        <v>26</v>
      </c>
    </row>
    <row r="43" customFormat="false" ht="15" hidden="false" customHeight="false" outlineLevel="0" collapsed="false">
      <c r="A43" s="0" t="s">
        <v>396</v>
      </c>
      <c r="B43" s="10" t="str">
        <f aca="false">INDEX(Vocab!B$3:B$32,$B$42+1)</f>
        <v> </v>
      </c>
    </row>
    <row r="44" customFormat="false" ht="15" hidden="false" customHeight="false" outlineLevel="0" collapsed="false">
      <c r="A44" s="0" t="s">
        <v>397</v>
      </c>
      <c r="B44" s="10" t="n">
        <f aca="false">MAX(B37:AE37)</f>
        <v>0.0636176010069589</v>
      </c>
    </row>
    <row r="46" customFormat="false" ht="15" hidden="false" customHeight="false" outlineLevel="0" collapsed="false">
      <c r="A46" s="0" t="s">
        <v>398</v>
      </c>
      <c r="B46" s="4" t="n">
        <f aca="false">Corpus!L$6</f>
        <v>18</v>
      </c>
    </row>
    <row r="47" customFormat="false" ht="15" hidden="false" customHeight="false" outlineLevel="0" collapsed="false">
      <c r="A47" s="0" t="s">
        <v>399</v>
      </c>
      <c r="B47" s="0" t="str">
        <f aca="false">INDEX(Vocab!B$3:B$32,$B$46+1)</f>
        <v>s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5" t="s">
        <v>400</v>
      </c>
      <c r="B1" s="5"/>
      <c r="C1" s="5"/>
    </row>
    <row r="3" customFormat="false" ht="15" hidden="false" customHeight="false" outlineLevel="0" collapsed="false">
      <c r="A3" s="2" t="s">
        <v>401</v>
      </c>
    </row>
    <row r="5" customFormat="false" ht="15" hidden="false" customHeight="false" outlineLevel="0" collapsed="false">
      <c r="A5" s="0" t="s">
        <v>402</v>
      </c>
      <c r="B5" s="14" t="n">
        <f aca="false">Corpus!L$6</f>
        <v>18</v>
      </c>
    </row>
    <row r="7" customFormat="false" ht="15" hidden="false" customHeight="false" outlineLevel="0" collapsed="false">
      <c r="A7" s="0" t="s">
        <v>403</v>
      </c>
      <c r="B7" s="9" t="n">
        <f aca="false">INDEX(Output!$B$37:$AE$37,1,$B$5+1)</f>
        <v>0.0289947303937</v>
      </c>
    </row>
    <row r="9" customFormat="false" ht="17.35" hidden="false" customHeight="false" outlineLevel="0" collapsed="false">
      <c r="A9" s="0" t="s">
        <v>404</v>
      </c>
      <c r="B9" s="15" t="n">
        <f aca="false">-LN($B$7)</f>
        <v>3.5406411760691</v>
      </c>
    </row>
    <row r="11" customFormat="false" ht="15" hidden="false" customHeight="false" outlineLevel="0" collapsed="false">
      <c r="A11" s="16" t="s">
        <v>405</v>
      </c>
    </row>
    <row r="14" customFormat="false" ht="15" hidden="false" customHeight="false" outlineLevel="0" collapsed="false">
      <c r="A14" s="1" t="s">
        <v>406</v>
      </c>
    </row>
    <row r="16" customFormat="false" ht="15" hidden="false" customHeight="false" outlineLevel="0" collapsed="false">
      <c r="A16" s="0" t="s">
        <v>407</v>
      </c>
      <c r="B16" s="9" t="n">
        <f aca="false">EXP($B$9)</f>
        <v>34.4890256409241</v>
      </c>
    </row>
    <row r="17" customFormat="false" ht="15" hidden="false" customHeight="false" outlineLevel="0" collapsed="false">
      <c r="A17" s="0" t="s">
        <v>408</v>
      </c>
      <c r="B17" s="9" t="str">
        <f aca="false">IF(Output!$B$42=$B$5,"YES","NO")</f>
        <v>NO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5" t="s">
        <v>409</v>
      </c>
      <c r="B1" s="5"/>
      <c r="C1" s="5"/>
    </row>
    <row r="3" customFormat="false" ht="15" hidden="false" customHeight="false" outlineLevel="0" collapsed="false">
      <c r="A3" s="2" t="s">
        <v>410</v>
      </c>
    </row>
    <row r="4" customFormat="false" ht="15" hidden="false" customHeight="false" outlineLevel="0" collapsed="false">
      <c r="A4" s="0" t="s">
        <v>411</v>
      </c>
    </row>
    <row r="6" customFormat="false" ht="15" hidden="false" customHeight="false" outlineLevel="0" collapsed="false">
      <c r="A6" s="0" t="s">
        <v>412</v>
      </c>
      <c r="B6" s="7" t="n">
        <v>0.001</v>
      </c>
    </row>
    <row r="8" customFormat="false" ht="15" hidden="false" customHeight="false" outlineLevel="0" collapsed="false">
      <c r="A8" s="0" t="s">
        <v>413</v>
      </c>
      <c r="B8" s="12" t="n">
        <f aca="false">Loss!$B$9</f>
        <v>3.5406411760691</v>
      </c>
    </row>
    <row r="10" customFormat="false" ht="15" hidden="false" customHeight="false" outlineLevel="0" collapsed="false">
      <c r="A10" s="2" t="s">
        <v>414</v>
      </c>
    </row>
    <row r="12" customFormat="false" ht="15" hidden="false" customHeight="false" outlineLevel="0" collapsed="false">
      <c r="A12" s="0" t="s">
        <v>415</v>
      </c>
    </row>
    <row r="13" customFormat="false" ht="15" hidden="false" customHeight="false" outlineLevel="0" collapsed="false">
      <c r="A13" s="0" t="s">
        <v>416</v>
      </c>
    </row>
    <row r="14" customFormat="false" ht="15" hidden="false" customHeight="false" outlineLevel="0" collapsed="false">
      <c r="A14" s="0" t="s">
        <v>417</v>
      </c>
    </row>
    <row r="15" customFormat="false" ht="15" hidden="false" customHeight="false" outlineLevel="0" collapsed="false">
      <c r="A15" s="0" t="s">
        <v>418</v>
      </c>
    </row>
    <row r="16" customFormat="false" ht="15" hidden="false" customHeight="false" outlineLevel="0" collapsed="false">
      <c r="A16" s="0" t="s">
        <v>419</v>
      </c>
    </row>
    <row r="17" customFormat="false" ht="15" hidden="false" customHeight="false" outlineLevel="0" collapsed="false">
      <c r="A17" s="0" t="s">
        <v>420</v>
      </c>
    </row>
    <row r="18" customFormat="false" ht="15" hidden="false" customHeight="false" outlineLevel="0" collapsed="false">
      <c r="A18" s="0" t="s">
        <v>421</v>
      </c>
    </row>
    <row r="19" customFormat="false" ht="15" hidden="false" customHeight="false" outlineLevel="0" collapsed="false">
      <c r="A19" s="0" t="s">
        <v>422</v>
      </c>
    </row>
    <row r="20" customFormat="false" ht="15" hidden="false" customHeight="false" outlineLevel="0" collapsed="false">
      <c r="A20" s="0" t="s">
        <v>423</v>
      </c>
    </row>
    <row r="24" customFormat="false" ht="15" hidden="false" customHeight="false" outlineLevel="0" collapsed="false">
      <c r="A24" s="1" t="s">
        <v>424</v>
      </c>
    </row>
    <row r="26" customFormat="false" ht="15" hidden="false" customHeight="false" outlineLevel="0" collapsed="false">
      <c r="A26" s="0" t="s">
        <v>425</v>
      </c>
      <c r="B26" s="7" t="s">
        <v>426</v>
      </c>
    </row>
    <row r="27" customFormat="false" ht="15" hidden="false" customHeight="false" outlineLevel="0" collapsed="false">
      <c r="A27" s="0" t="s">
        <v>427</v>
      </c>
      <c r="B27" s="9" t="n">
        <f aca="true">INDIRECT($B$26)</f>
        <v>0.0497</v>
      </c>
    </row>
    <row r="28" customFormat="false" ht="15" hidden="false" customHeight="false" outlineLevel="0" collapsed="false">
      <c r="A28" s="0" t="s">
        <v>428</v>
      </c>
      <c r="B28" s="7"/>
    </row>
    <row r="29" customFormat="false" ht="15" hidden="false" customHeight="false" outlineLevel="0" collapsed="false">
      <c r="A29" s="0" t="s">
        <v>429</v>
      </c>
      <c r="B29" s="7"/>
    </row>
    <row r="30" customFormat="false" ht="15" hidden="false" customHeight="false" outlineLevel="0" collapsed="false">
      <c r="A30" s="0" t="s">
        <v>430</v>
      </c>
      <c r="B30" s="10" t="str">
        <f aca="false">IF(AND($B$28&lt;&gt;"",$B$29&lt;&gt;""),($B$28-$B$29)/(2*$B$6),"")</f>
        <v/>
      </c>
    </row>
    <row r="32" customFormat="false" ht="15" hidden="false" customHeight="false" outlineLevel="0" collapsed="false">
      <c r="A32" s="0" t="s">
        <v>431</v>
      </c>
      <c r="B32" s="10" t="str">
        <f aca="false">IF($B$30&lt;&gt;"", $B$27 - Config!$B$9*$B$30, "")</f>
        <v/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5" t="s">
        <v>432</v>
      </c>
      <c r="B1" s="5"/>
      <c r="C1" s="5"/>
    </row>
    <row r="3" customFormat="false" ht="15" hidden="false" customHeight="false" outlineLevel="0" collapsed="false">
      <c r="A3" s="0" t="s">
        <v>433</v>
      </c>
      <c r="B3" s="12" t="n">
        <f aca="false">Config!$B$9</f>
        <v>0.01</v>
      </c>
    </row>
    <row r="4" customFormat="false" ht="15" hidden="false" customHeight="false" outlineLevel="0" collapsed="false">
      <c r="A4" s="0" t="s">
        <v>107</v>
      </c>
      <c r="B4" s="12" t="n">
        <f aca="false">Config!$B$11</f>
        <v>1</v>
      </c>
    </row>
    <row r="5" customFormat="false" ht="15" hidden="false" customHeight="false" outlineLevel="0" collapsed="false">
      <c r="A5" s="0" t="s">
        <v>413</v>
      </c>
      <c r="B5" s="12" t="n">
        <f aca="false">Loss!$B$9</f>
        <v>3.5406411760691</v>
      </c>
    </row>
    <row r="8" customFormat="false" ht="15" hidden="false" customHeight="false" outlineLevel="0" collapsed="false">
      <c r="A8" s="2" t="s">
        <v>434</v>
      </c>
    </row>
    <row r="10" customFormat="false" ht="15" hidden="false" customHeight="false" outlineLevel="0" collapsed="false">
      <c r="A10" s="0" t="s">
        <v>435</v>
      </c>
    </row>
    <row r="11" customFormat="false" ht="15" hidden="false" customHeight="false" outlineLevel="0" collapsed="false">
      <c r="A11" s="0" t="s">
        <v>436</v>
      </c>
    </row>
    <row r="12" customFormat="false" ht="15" hidden="false" customHeight="false" outlineLevel="0" collapsed="false">
      <c r="A12" s="0" t="s">
        <v>437</v>
      </c>
    </row>
    <row r="13" customFormat="false" ht="15" hidden="false" customHeight="false" outlineLevel="0" collapsed="false">
      <c r="A13" s="0" t="s">
        <v>438</v>
      </c>
    </row>
    <row r="14" customFormat="false" ht="15" hidden="false" customHeight="false" outlineLevel="0" collapsed="false">
      <c r="A14" s="0" t="s">
        <v>439</v>
      </c>
    </row>
    <row r="15" customFormat="false" ht="15" hidden="false" customHeight="false" outlineLevel="0" collapsed="false">
      <c r="A15" s="0" t="s">
        <v>440</v>
      </c>
    </row>
    <row r="16" customFormat="false" ht="15" hidden="false" customHeight="false" outlineLevel="0" collapsed="false">
      <c r="A16" s="0" t="s">
        <v>441</v>
      </c>
    </row>
    <row r="17" customFormat="false" ht="15" hidden="false" customHeight="false" outlineLevel="0" collapsed="false">
      <c r="A17" s="0" t="s">
        <v>442</v>
      </c>
    </row>
    <row r="18" customFormat="false" ht="15" hidden="false" customHeight="false" outlineLevel="0" collapsed="false">
      <c r="A18" s="0" t="s">
        <v>443</v>
      </c>
    </row>
    <row r="19" customFormat="false" ht="15" hidden="false" customHeight="false" outlineLevel="0" collapsed="false">
      <c r="A19" s="0" t="s">
        <v>444</v>
      </c>
    </row>
    <row r="21" customFormat="false" ht="15" hidden="false" customHeight="false" outlineLevel="0" collapsed="false">
      <c r="A21" s="0" t="s">
        <v>445</v>
      </c>
    </row>
    <row r="22" customFormat="false" ht="15" hidden="false" customHeight="false" outlineLevel="0" collapsed="false">
      <c r="A22" s="0" t="s">
        <v>446</v>
      </c>
    </row>
    <row r="26" customFormat="false" ht="15" hidden="false" customHeight="false" outlineLevel="0" collapsed="false">
      <c r="A26" s="1" t="s">
        <v>447</v>
      </c>
    </row>
    <row r="28" customFormat="false" ht="15" hidden="false" customHeight="false" outlineLevel="0" collapsed="false">
      <c r="A28" s="0" t="s">
        <v>448</v>
      </c>
      <c r="B28" s="7"/>
    </row>
    <row r="29" customFormat="false" ht="15" hidden="false" customHeight="false" outlineLevel="0" collapsed="false">
      <c r="A29" s="0" t="s">
        <v>449</v>
      </c>
      <c r="B29" s="9" t="str">
        <f aca="true">IF($B$28&lt;&gt;"",INDIRECT($B$28),"")</f>
        <v/>
      </c>
    </row>
    <row r="30" customFormat="false" ht="15" hidden="false" customHeight="false" outlineLevel="0" collapsed="false">
      <c r="A30" s="0" t="s">
        <v>430</v>
      </c>
      <c r="B30" s="7"/>
    </row>
    <row r="31" customFormat="false" ht="15" hidden="false" customHeight="false" outlineLevel="0" collapsed="false">
      <c r="A31" s="0" t="s">
        <v>450</v>
      </c>
      <c r="B31" s="17" t="str">
        <f aca="false">IF(AND($B$28&lt;&gt;"",$B$30&lt;&gt;""),$B$29-$B$3*$B$30,"")</f>
        <v/>
      </c>
    </row>
    <row r="33" customFormat="false" ht="15" hidden="false" customHeight="false" outlineLevel="0" collapsed="false">
      <c r="A33" s="16" t="s">
        <v>451</v>
      </c>
    </row>
    <row r="36" customFormat="false" ht="15" hidden="false" customHeight="false" outlineLevel="0" collapsed="false">
      <c r="A36" s="1" t="s">
        <v>452</v>
      </c>
    </row>
    <row r="38" customFormat="false" ht="15" hidden="false" customHeight="false" outlineLevel="0" collapsed="false">
      <c r="A38" s="2" t="s">
        <v>453</v>
      </c>
      <c r="B38" s="2" t="s">
        <v>109</v>
      </c>
      <c r="C38" s="2" t="s">
        <v>454</v>
      </c>
      <c r="D38" s="2" t="s">
        <v>455</v>
      </c>
    </row>
    <row r="39" customFormat="false" ht="15" hidden="false" customHeight="false" outlineLevel="0" collapsed="false">
      <c r="A39" s="18"/>
      <c r="B39" s="18"/>
      <c r="C39" s="18"/>
      <c r="D39" s="18"/>
    </row>
    <row r="40" customFormat="false" ht="15" hidden="false" customHeight="false" outlineLevel="0" collapsed="false">
      <c r="A40" s="18"/>
      <c r="B40" s="18"/>
      <c r="C40" s="18"/>
      <c r="D40" s="18"/>
    </row>
    <row r="41" customFormat="false" ht="15" hidden="false" customHeight="false" outlineLevel="0" collapsed="false">
      <c r="A41" s="18"/>
      <c r="B41" s="18"/>
      <c r="C41" s="18"/>
      <c r="D41" s="18"/>
    </row>
    <row r="42" customFormat="false" ht="15" hidden="false" customHeight="false" outlineLevel="0" collapsed="false">
      <c r="A42" s="18"/>
      <c r="B42" s="18"/>
      <c r="C42" s="18"/>
      <c r="D42" s="18"/>
    </row>
    <row r="43" customFormat="false" ht="15" hidden="false" customHeight="false" outlineLevel="0" collapsed="false">
      <c r="A43" s="18"/>
      <c r="B43" s="18"/>
      <c r="C43" s="18"/>
      <c r="D43" s="18"/>
    </row>
    <row r="44" customFormat="false" ht="15" hidden="false" customHeight="false" outlineLevel="0" collapsed="false">
      <c r="A44" s="18"/>
      <c r="B44" s="18"/>
      <c r="C44" s="18"/>
      <c r="D44" s="18"/>
    </row>
    <row r="45" customFormat="false" ht="15" hidden="false" customHeight="false" outlineLevel="0" collapsed="false">
      <c r="A45" s="18"/>
      <c r="B45" s="18"/>
      <c r="C45" s="18"/>
      <c r="D45" s="18"/>
    </row>
    <row r="46" customFormat="false" ht="15" hidden="false" customHeight="false" outlineLevel="0" collapsed="false">
      <c r="A46" s="18"/>
      <c r="B46" s="18"/>
      <c r="C46" s="18"/>
      <c r="D46" s="18"/>
    </row>
    <row r="47" customFormat="false" ht="15" hidden="false" customHeight="false" outlineLevel="0" collapsed="false">
      <c r="A47" s="18"/>
      <c r="B47" s="18"/>
      <c r="C47" s="18"/>
      <c r="D47" s="18"/>
    </row>
    <row r="48" customFormat="false" ht="15" hidden="false" customHeight="false" outlineLevel="0" collapsed="false">
      <c r="A48" s="18"/>
      <c r="B48" s="18"/>
      <c r="C48" s="18"/>
      <c r="D48" s="1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9" min="2" style="0" width="9"/>
  </cols>
  <sheetData>
    <row r="1" customFormat="false" ht="15" hidden="false" customHeight="false" outlineLevel="0" collapsed="false">
      <c r="A1" s="5" t="s">
        <v>456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2" t="s">
        <v>457</v>
      </c>
    </row>
    <row r="5" customFormat="false" ht="15" hidden="false" customHeight="false" outlineLevel="0" collapsed="false">
      <c r="A5" s="0" t="s">
        <v>458</v>
      </c>
      <c r="B5" s="7" t="s">
        <v>121</v>
      </c>
    </row>
    <row r="7" customFormat="false" ht="15" hidden="false" customHeight="false" outlineLevel="0" collapsed="false">
      <c r="A7" s="2" t="s">
        <v>459</v>
      </c>
    </row>
    <row r="8" customFormat="false" ht="15" hidden="false" customHeight="false" outlineLevel="0" collapsed="false">
      <c r="A8" s="2" t="s">
        <v>460</v>
      </c>
      <c r="B8" s="2" t="s">
        <v>461</v>
      </c>
      <c r="C8" s="2" t="s">
        <v>462</v>
      </c>
      <c r="D8" s="2" t="s">
        <v>463</v>
      </c>
      <c r="E8" s="2" t="s">
        <v>464</v>
      </c>
      <c r="F8" s="2" t="s">
        <v>465</v>
      </c>
      <c r="G8" s="2" t="s">
        <v>466</v>
      </c>
      <c r="H8" s="2" t="s">
        <v>467</v>
      </c>
    </row>
    <row r="9" customFormat="false" ht="15" hidden="false" customHeight="false" outlineLevel="0" collapsed="false">
      <c r="A9" s="9" t="str">
        <f aca="false">MID($B$5,1,1)</f>
        <v>t</v>
      </c>
      <c r="B9" s="9" t="str">
        <f aca="false">MID($B$5,2,1)</f>
        <v>h</v>
      </c>
      <c r="C9" s="9" t="str">
        <f aca="false">MID($B$5,3,1)</f>
        <v>e</v>
      </c>
      <c r="D9" s="9" t="str">
        <f aca="false">MID($B$5,4,1)</f>
        <v> </v>
      </c>
      <c r="E9" s="9" t="str">
        <f aca="false">MID($B$5,5,1)</f>
        <v>c</v>
      </c>
      <c r="F9" s="9" t="str">
        <f aca="false">MID($B$5,6,1)</f>
        <v>a</v>
      </c>
      <c r="G9" s="9" t="str">
        <f aca="false">MID($B$5,7,1)</f>
        <v>t</v>
      </c>
      <c r="H9" s="9" t="str">
        <f aca="false">MID($B$5,8,1)</f>
        <v> </v>
      </c>
    </row>
    <row r="10" customFormat="false" ht="15" hidden="false" customHeight="false" outlineLevel="0" collapsed="false">
      <c r="A10" s="9" t="n">
        <f aca="false">IFERROR(MATCH(A9,Vocab!$B$3:$B$32,0)-1,26)</f>
        <v>19</v>
      </c>
      <c r="B10" s="9" t="n">
        <f aca="false">IFERROR(MATCH(B9,Vocab!$B$3:$B$32,0)-1,26)</f>
        <v>7</v>
      </c>
      <c r="C10" s="9" t="n">
        <f aca="false">IFERROR(MATCH(C9,Vocab!$B$3:$B$32,0)-1,26)</f>
        <v>4</v>
      </c>
      <c r="D10" s="9" t="n">
        <f aca="false">IFERROR(MATCH(D9,Vocab!$B$3:$B$32,0)-1,26)</f>
        <v>26</v>
      </c>
      <c r="E10" s="9" t="n">
        <f aca="false">IFERROR(MATCH(E9,Vocab!$B$3:$B$32,0)-1,26)</f>
        <v>2</v>
      </c>
      <c r="F10" s="9" t="n">
        <f aca="false">IFERROR(MATCH(F9,Vocab!$B$3:$B$32,0)-1,26)</f>
        <v>0</v>
      </c>
      <c r="G10" s="9" t="n">
        <f aca="false">IFERROR(MATCH(G9,Vocab!$B$3:$B$32,0)-1,26)</f>
        <v>19</v>
      </c>
      <c r="H10" s="9" t="n">
        <f aca="false">IFERROR(MATCH(H9,Vocab!$B$3:$B$32,0)-1,26)</f>
        <v>26</v>
      </c>
    </row>
    <row r="12" customFormat="false" ht="15" hidden="false" customHeight="false" outlineLevel="0" collapsed="false">
      <c r="A12" s="2" t="s">
        <v>468</v>
      </c>
    </row>
    <row r="13" customFormat="false" ht="15" hidden="false" customHeight="false" outlineLevel="0" collapsed="false">
      <c r="A13" s="0" t="s">
        <v>469</v>
      </c>
    </row>
    <row r="14" customFormat="false" ht="15" hidden="false" customHeight="false" outlineLevel="0" collapsed="false">
      <c r="A14" s="0" t="s">
        <v>470</v>
      </c>
    </row>
    <row r="15" customFormat="false" ht="15" hidden="false" customHeight="false" outlineLevel="0" collapsed="false">
      <c r="A15" s="0" t="s">
        <v>471</v>
      </c>
    </row>
    <row r="16" customFormat="false" ht="15" hidden="false" customHeight="false" outlineLevel="0" collapsed="false">
      <c r="A16" s="0" t="s">
        <v>472</v>
      </c>
    </row>
    <row r="17" customFormat="false" ht="15" hidden="false" customHeight="false" outlineLevel="0" collapsed="false">
      <c r="A17" s="0" t="s">
        <v>473</v>
      </c>
    </row>
    <row r="19" customFormat="false" ht="15" hidden="false" customHeight="false" outlineLevel="0" collapsed="false">
      <c r="A19" s="0" t="s">
        <v>474</v>
      </c>
    </row>
    <row r="20" customFormat="false" ht="15" hidden="false" customHeight="false" outlineLevel="0" collapsed="false">
      <c r="A20" s="0" t="s">
        <v>475</v>
      </c>
    </row>
    <row r="24" customFormat="false" ht="15" hidden="false" customHeight="false" outlineLevel="0" collapsed="false">
      <c r="A24" s="1" t="s">
        <v>476</v>
      </c>
    </row>
    <row r="26" customFormat="false" ht="17.35" hidden="false" customHeight="false" outlineLevel="0" collapsed="false">
      <c r="A26" s="0" t="s">
        <v>477</v>
      </c>
      <c r="B26" s="15" t="str">
        <f aca="false">Output!$B$43</f>
        <v> </v>
      </c>
    </row>
    <row r="27" customFormat="false" ht="15" hidden="false" customHeight="false" outlineLevel="0" collapsed="false">
      <c r="A27" s="0" t="s">
        <v>478</v>
      </c>
      <c r="B27" s="10" t="n">
        <f aca="false">Output!$B$44</f>
        <v>0.0636176010069589</v>
      </c>
    </row>
    <row r="30" customFormat="false" ht="15" hidden="false" customHeight="false" outlineLevel="0" collapsed="false">
      <c r="A30" s="2" t="s">
        <v>479</v>
      </c>
    </row>
    <row r="31" customFormat="false" ht="15" hidden="false" customHeight="false" outlineLevel="0" collapsed="false">
      <c r="A31" s="2" t="s">
        <v>480</v>
      </c>
      <c r="B31" s="2" t="s">
        <v>70</v>
      </c>
      <c r="C31" s="2" t="s">
        <v>481</v>
      </c>
    </row>
    <row r="32" customFormat="false" ht="15" hidden="false" customHeight="false" outlineLevel="0" collapsed="false">
      <c r="A32" s="0" t="n">
        <v>1</v>
      </c>
      <c r="B32" s="9" t="str">
        <f aca="false">INDEX(Vocab!$B$3:$B$32,MATCH(LARGE(Output!$B$37:$AE$37,1),Output!$B$37:$AE$37,0))</f>
        <v> </v>
      </c>
      <c r="C32" s="9" t="n">
        <f aca="false">LARGE(Output!$B$37:$AE$37,1)</f>
        <v>0.0636176010069589</v>
      </c>
    </row>
    <row r="33" customFormat="false" ht="15" hidden="false" customHeight="false" outlineLevel="0" collapsed="false">
      <c r="A33" s="0" t="n">
        <v>2</v>
      </c>
      <c r="B33" s="9" t="str">
        <f aca="false">INDEX(Vocab!$B$3:$B$32,MATCH(LARGE(Output!$B$37:$AE$37,2),Output!$B$37:$AE$37,0))</f>
        <v>o</v>
      </c>
      <c r="C33" s="9" t="n">
        <f aca="false">LARGE(Output!$B$37:$AE$37,2)</f>
        <v>0.053101135854529</v>
      </c>
    </row>
    <row r="34" customFormat="false" ht="15" hidden="false" customHeight="false" outlineLevel="0" collapsed="false">
      <c r="A34" s="0" t="n">
        <v>3</v>
      </c>
      <c r="B34" s="9" t="str">
        <f aca="false">INDEX(Vocab!$B$3:$B$32,MATCH(LARGE(Output!$B$37:$AE$37,3),Output!$B$37:$AE$37,0))</f>
        <v>w</v>
      </c>
      <c r="C34" s="9" t="n">
        <f aca="false">LARGE(Output!$B$37:$AE$37,3)</f>
        <v>0.0505086190540339</v>
      </c>
    </row>
    <row r="35" customFormat="false" ht="15" hidden="false" customHeight="false" outlineLevel="0" collapsed="false">
      <c r="A35" s="0" t="n">
        <v>4</v>
      </c>
      <c r="B35" s="9" t="str">
        <f aca="false">INDEX(Vocab!$B$3:$B$32,MATCH(LARGE(Output!$B$37:$AE$37,4),Output!$B$37:$AE$37,0))</f>
        <v>b</v>
      </c>
      <c r="C35" s="9" t="n">
        <f aca="false">LARGE(Output!$B$37:$AE$37,4)</f>
        <v>0.0440751798779619</v>
      </c>
    </row>
    <row r="36" customFormat="false" ht="15" hidden="false" customHeight="false" outlineLevel="0" collapsed="false">
      <c r="A36" s="0" t="n">
        <v>5</v>
      </c>
      <c r="B36" s="9" t="str">
        <f aca="false">INDEX(Vocab!$B$3:$B$32,MATCH(LARGE(Output!$B$37:$AE$37,5),Output!$B$37:$AE$37,0))</f>
        <v>j</v>
      </c>
      <c r="C36" s="9" t="n">
        <f aca="false">LARGE(Output!$B$37:$AE$37,5)</f>
        <v>0.0440328998101006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2025-12-06T22:44:23Z</dcterms:created>
  <dc:creator>openpyxl</dc:creator>
  <dc:description/>
  <dc:language>en-US</dc:language>
  <cp:lastModifiedBy/>
  <dcterms:modified xsi:type="dcterms:W3CDTF">2025-12-06T22:44:24Z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